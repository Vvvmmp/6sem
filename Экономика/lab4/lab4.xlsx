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Экономика\lab4\"/>
    </mc:Choice>
  </mc:AlternateContent>
  <xr:revisionPtr revIDLastSave="0" documentId="13_ncr:1_{4827AB95-26D8-42FB-BAD7-C1D7D3C778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Исх данные и решение" sheetId="2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28" i="2"/>
  <c r="B27" i="2"/>
  <c r="B26" i="2"/>
  <c r="B25" i="2"/>
  <c r="B24" i="2"/>
  <c r="B22" i="2"/>
  <c r="B21" i="2"/>
  <c r="B20" i="2"/>
  <c r="B19" i="2"/>
  <c r="B18" i="2"/>
  <c r="B17" i="2"/>
</calcChain>
</file>

<file path=xl/sharedStrings.xml><?xml version="1.0" encoding="utf-8"?>
<sst xmlns="http://schemas.openxmlformats.org/spreadsheetml/2006/main" count="59" uniqueCount="53">
  <si>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</si>
  <si>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</si>
  <si>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</si>
  <si>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</si>
  <si>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</si>
  <si>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</si>
  <si>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</si>
  <si>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</si>
  <si>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</si>
  <si>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</si>
  <si>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</si>
  <si>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</si>
  <si>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</si>
  <si>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</si>
  <si>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</si>
  <si>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</si>
  <si>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</si>
  <si>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</si>
  <si>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</si>
  <si>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</si>
  <si>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</si>
  <si>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</si>
  <si>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</si>
  <si>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</si>
  <si>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</si>
  <si>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</si>
  <si>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</si>
  <si>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</si>
  <si>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</si>
  <si>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</si>
  <si>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</si>
  <si>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</si>
  <si>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</si>
  <si>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</si>
  <si>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</si>
  <si>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</si>
  <si>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</si>
  <si>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</si>
  <si>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</si>
  <si>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</si>
  <si>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</si>
  <si>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</si>
  <si>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</si>
  <si>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</si>
  <si>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</si>
  <si>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</si>
  <si>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</si>
  <si>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</si>
  <si>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</si>
  <si>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</si>
  <si>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</si>
  <si>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</si>
  <si>
    <t>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</si>
</sst>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8" workbookViewId="0">
      <selection activeCell="C32" sqref="C32"/>
    </sheetView>
  </sheetViews>
  <sheetFormatPr defaultRowHeight="14.4" x14ac:dyDescent="0.3"/>
  <cols>
    <col min="1" max="1" width="48.21875" customWidth="1"/>
    <col min="2" max="2" width="13.33203125" customWidth="1"/>
  </cols>
  <sheetData>
    <row r="1" spans="1:2" ht="18" x14ac:dyDescent="0.35">
      <c r="A1" s="4" t="s">
        <v>6</v>
      </c>
    </row>
    <row r="2" spans="1:2" x14ac:dyDescent="0.3">
      <c r="A2" s="16" t="s">
        <v>29</v>
      </c>
      <c r="B2" s="40" t="s">
        <v>52</v>
      </c>
    </row>
    <row r="3" spans="1:2" x14ac:dyDescent="0.3">
      <c r="A3" s="2" t="s">
        <v>3</v>
      </c>
      <c r="B3" s="3">
        <v>6</v>
      </c>
    </row>
    <row r="4" spans="1:2" x14ac:dyDescent="0.3">
      <c r="A4" s="1" t="s">
        <v>7</v>
      </c>
      <c r="B4" s="6">
        <v>500</v>
      </c>
    </row>
    <row r="5" spans="1:2" x14ac:dyDescent="0.3">
      <c r="A5" s="1" t="s">
        <v>8</v>
      </c>
      <c r="B5" s="6">
        <v>33</v>
      </c>
    </row>
    <row r="6" spans="1:2" x14ac:dyDescent="0.3">
      <c r="A6" s="1" t="s">
        <v>9</v>
      </c>
      <c r="B6" s="6">
        <v>3400</v>
      </c>
    </row>
    <row r="7" spans="1:2" x14ac:dyDescent="0.3">
      <c r="A7" s="1" t="s">
        <v>2</v>
      </c>
      <c r="B7" s="6">
        <v>9</v>
      </c>
    </row>
    <row r="8" spans="1:2" x14ac:dyDescent="0.3">
      <c r="A8" s="1" t="s">
        <v>4</v>
      </c>
      <c r="B8" s="6">
        <v>0.28999999999999998</v>
      </c>
    </row>
    <row r="9" spans="1:2" x14ac:dyDescent="0.3">
      <c r="A9" s="1" t="s">
        <v>10</v>
      </c>
      <c r="B9" s="6">
        <v>6</v>
      </c>
    </row>
    <row r="10" spans="1:2" x14ac:dyDescent="0.3">
      <c r="A10" s="1" t="s">
        <v>11</v>
      </c>
      <c r="B10" s="6">
        <v>1</v>
      </c>
    </row>
    <row r="11" spans="1:2" x14ac:dyDescent="0.3">
      <c r="A11" s="1" t="s">
        <v>12</v>
      </c>
      <c r="B11" s="7">
        <v>43952</v>
      </c>
    </row>
    <row r="12" spans="1:2" x14ac:dyDescent="0.3">
      <c r="A12" s="1" t="s">
        <v>13</v>
      </c>
      <c r="B12" s="6">
        <v>70</v>
      </c>
    </row>
    <row r="13" spans="1:2" x14ac:dyDescent="0.3">
      <c r="A13" s="1" t="s">
        <v>14</v>
      </c>
      <c r="B13" s="7">
        <v>44075</v>
      </c>
    </row>
    <row r="14" spans="1:2" x14ac:dyDescent="0.3">
      <c r="A14" s="1" t="s">
        <v>15</v>
      </c>
      <c r="B14" s="6">
        <v>65</v>
      </c>
    </row>
    <row r="15" spans="1:2" x14ac:dyDescent="0.3">
      <c r="A15" s="17" t="s">
        <v>30</v>
      </c>
    </row>
    <row r="16" spans="1:2" x14ac:dyDescent="0.3">
      <c r="A16" s="18" t="s">
        <v>17</v>
      </c>
      <c r="B16" s="10"/>
    </row>
    <row r="17" spans="1:2" x14ac:dyDescent="0.3">
      <c r="A17" s="10" t="s">
        <v>19</v>
      </c>
      <c r="B17" s="19">
        <f>B4/B5*100</f>
        <v>1515.1515151515152</v>
      </c>
    </row>
    <row r="18" spans="1:2" x14ac:dyDescent="0.3">
      <c r="A18" s="10" t="s">
        <v>16</v>
      </c>
      <c r="B18" s="19">
        <f>B6-B17</f>
        <v>1884.8484848484848</v>
      </c>
    </row>
    <row r="19" spans="1:2" x14ac:dyDescent="0.3">
      <c r="A19" s="10" t="s">
        <v>21</v>
      </c>
      <c r="B19" s="19">
        <f>B6*B8</f>
        <v>985.99999999999989</v>
      </c>
    </row>
    <row r="20" spans="1:2" x14ac:dyDescent="0.3">
      <c r="A20" s="10" t="s">
        <v>22</v>
      </c>
      <c r="B20" s="19">
        <f>B6/B9</f>
        <v>566.66666666666663</v>
      </c>
    </row>
    <row r="21" spans="1:2" x14ac:dyDescent="0.3">
      <c r="A21" s="10" t="s">
        <v>24</v>
      </c>
      <c r="B21" s="19">
        <f>360/'Исх данные и решение'!B9</f>
        <v>60</v>
      </c>
    </row>
    <row r="22" spans="1:2" x14ac:dyDescent="0.3">
      <c r="A22" s="20" t="s">
        <v>26</v>
      </c>
      <c r="B22" s="21">
        <f>B18/(B19+B20)*100</f>
        <v>121.39427768453102</v>
      </c>
    </row>
    <row r="23" spans="1:2" x14ac:dyDescent="0.3">
      <c r="A23" s="11" t="s">
        <v>18</v>
      </c>
      <c r="B23" s="13"/>
    </row>
    <row r="24" spans="1:2" x14ac:dyDescent="0.3">
      <c r="A24" s="8" t="s">
        <v>20</v>
      </c>
      <c r="B24" s="12">
        <f>B6*(100+B7)%</f>
        <v>3706.0000000000005</v>
      </c>
    </row>
    <row r="25" spans="1:2" x14ac:dyDescent="0.3">
      <c r="A25" s="8" t="s">
        <v>19</v>
      </c>
      <c r="B25" s="12">
        <f>((B17-B4)*(100+B7)%)+B4</f>
        <v>1606.5151515151517</v>
      </c>
    </row>
    <row r="26" spans="1:2" x14ac:dyDescent="0.3">
      <c r="A26" s="8" t="s">
        <v>16</v>
      </c>
      <c r="B26" s="12">
        <f>B24-B25</f>
        <v>2099.484848484849</v>
      </c>
    </row>
    <row r="27" spans="1:2" x14ac:dyDescent="0.3">
      <c r="A27" s="8" t="s">
        <v>23</v>
      </c>
      <c r="B27" s="12">
        <f>B19+(B12*8/12)-(B14*4/12)</f>
        <v>1010.9999999999999</v>
      </c>
    </row>
    <row r="28" spans="1:2" x14ac:dyDescent="0.3">
      <c r="A28" s="8" t="s">
        <v>24</v>
      </c>
      <c r="B28" s="12">
        <f>B21-B10</f>
        <v>59</v>
      </c>
    </row>
    <row r="29" spans="1:2" x14ac:dyDescent="0.3">
      <c r="A29" s="8" t="s">
        <v>25</v>
      </c>
      <c r="B29" s="12">
        <f>360/B28</f>
        <v>6.101694915254237</v>
      </c>
    </row>
    <row r="30" spans="1:2" x14ac:dyDescent="0.3">
      <c r="A30" s="8" t="s">
        <v>22</v>
      </c>
      <c r="B30" s="12">
        <f>B24/B29</f>
        <v>607.37222222222238</v>
      </c>
    </row>
    <row r="31" spans="1:2" x14ac:dyDescent="0.3">
      <c r="A31" s="9" t="s">
        <v>27</v>
      </c>
      <c r="B31" s="13">
        <f>B26/(B27+B30)*100</f>
        <v>129.72818117219046</v>
      </c>
    </row>
    <row r="32" spans="1:2" x14ac:dyDescent="0.3">
      <c r="A32" s="9" t="s">
        <v>28</v>
      </c>
      <c r="B32" s="13">
        <f>(B31-B22)/B22*100</f>
        <v>6.8651534871494277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28" workbookViewId="0">
      <selection activeCell="A9" sqref="A9"/>
    </sheetView>
  </sheetViews>
  <sheetFormatPr defaultRowHeight="14.4" x14ac:dyDescent="0.3"/>
  <cols>
    <col min="1" max="1" width="93.33203125" customWidth="1"/>
    <col min="2" max="2" width="20.44140625" customWidth="1"/>
    <col min="3" max="3" width="18.44140625" customWidth="1"/>
  </cols>
  <sheetData>
    <row r="1" spans="1:3" ht="18" x14ac:dyDescent="0.35">
      <c r="A1" s="4" t="s">
        <v>5</v>
      </c>
    </row>
    <row r="2" spans="1:3" ht="18" x14ac:dyDescent="0.35">
      <c r="A2" s="5" t="s">
        <v>0</v>
      </c>
    </row>
    <row r="4" spans="1:3" ht="18" x14ac:dyDescent="0.35">
      <c r="A4" s="14" t="s">
        <v>1</v>
      </c>
    </row>
    <row r="5" spans="1:3" ht="62.4" x14ac:dyDescent="0.3">
      <c r="A5" s="15" t="s">
        <v>31</v>
      </c>
    </row>
    <row r="6" spans="1:3" ht="15.6" x14ac:dyDescent="0.3">
      <c r="A6" s="29" t="s">
        <v>17</v>
      </c>
    </row>
    <row r="7" spans="1:3" ht="31.2" x14ac:dyDescent="0.3">
      <c r="A7" s="23" t="s">
        <v>32</v>
      </c>
      <c r="B7" s="22"/>
      <c r="C7" s="22"/>
    </row>
    <row r="8" spans="1:3" ht="15.6" x14ac:dyDescent="0.35">
      <c r="A8" s="22"/>
      <c r="B8" s="22"/>
      <c r="C8" s="22"/>
    </row>
    <row r="9" spans="1:3" ht="15.6" x14ac:dyDescent="0.3">
      <c r="A9" s="30" t="s">
        <v>51</v>
      </c>
      <c r="B9" s="22"/>
      <c r="C9" s="22"/>
    </row>
    <row r="10" spans="1:3" ht="15.6" x14ac:dyDescent="0.3">
      <c r="A10" s="31" t="s">
        <v>33</v>
      </c>
      <c r="B10" s="22"/>
      <c r="C10" s="22"/>
    </row>
    <row r="11" spans="1:3" ht="15.6" x14ac:dyDescent="0.3">
      <c r="A11" s="30" t="s">
        <v>34</v>
      </c>
      <c r="B11" s="22"/>
      <c r="C11" s="22"/>
    </row>
    <row r="12" spans="1:3" ht="15.6" x14ac:dyDescent="0.35">
      <c r="A12" s="15"/>
      <c r="B12" s="22"/>
      <c r="C12" s="22"/>
    </row>
    <row r="13" spans="1:3" ht="15.6" x14ac:dyDescent="0.3">
      <c r="A13" s="23" t="s">
        <v>40</v>
      </c>
      <c r="B13" s="22"/>
      <c r="C13" s="22"/>
    </row>
    <row r="14" spans="1:3" ht="15.6" x14ac:dyDescent="0.3">
      <c r="A14" s="26" t="s">
        <v>41</v>
      </c>
      <c r="B14" s="22"/>
      <c r="C14" s="22"/>
    </row>
    <row r="15" spans="1:3" ht="15.6" x14ac:dyDescent="0.35">
      <c r="A15" s="27"/>
      <c r="B15" s="22"/>
      <c r="C15" s="22"/>
    </row>
    <row r="16" spans="1:3" ht="31.2" x14ac:dyDescent="0.3">
      <c r="A16" s="30" t="s">
        <v>39</v>
      </c>
      <c r="B16" s="22"/>
      <c r="C16" s="22"/>
    </row>
    <row r="17" spans="1:3" ht="15.6" x14ac:dyDescent="0.3">
      <c r="A17" s="32" t="s">
        <v>38</v>
      </c>
      <c r="B17" s="22"/>
      <c r="C17" s="22"/>
    </row>
    <row r="18" spans="1:3" ht="15.6" x14ac:dyDescent="0.35">
      <c r="A18" s="24"/>
      <c r="B18" s="22"/>
      <c r="C18" s="22"/>
    </row>
    <row r="19" spans="1:3" ht="15.6" x14ac:dyDescent="0.3">
      <c r="A19" s="28" t="s">
        <v>35</v>
      </c>
      <c r="B19" s="22"/>
      <c r="C19" s="22"/>
    </row>
    <row r="20" spans="1:3" ht="15.6" x14ac:dyDescent="0.3">
      <c r="A20" s="26" t="s">
        <v>42</v>
      </c>
      <c r="B20" s="22"/>
      <c r="C20" s="22"/>
    </row>
    <row r="21" spans="1:3" ht="15.6" x14ac:dyDescent="0.35">
      <c r="A21" s="25"/>
      <c r="B21" s="22"/>
      <c r="C21" s="22"/>
    </row>
    <row r="22" spans="1:3" ht="15.6" x14ac:dyDescent="0.3">
      <c r="A22" s="30" t="s">
        <v>37</v>
      </c>
    </row>
    <row r="23" spans="1:3" ht="15.6" x14ac:dyDescent="0.3">
      <c r="A23" s="33" t="s">
        <v>36</v>
      </c>
    </row>
    <row r="24" spans="1:3" ht="15.6" x14ac:dyDescent="0.35">
      <c r="A24" s="15"/>
    </row>
    <row r="25" spans="1:3" ht="15.6" x14ac:dyDescent="0.3">
      <c r="A25" s="29" t="s">
        <v>18</v>
      </c>
    </row>
    <row r="26" spans="1:3" ht="16.649999999999999" customHeight="1" x14ac:dyDescent="0.3">
      <c r="A26" s="23" t="s">
        <v>43</v>
      </c>
    </row>
    <row r="27" spans="1:3" ht="15.6" x14ac:dyDescent="0.3">
      <c r="A27" s="15"/>
    </row>
    <row r="28" spans="1:3" ht="46.8" x14ac:dyDescent="0.3">
      <c r="A28" s="34" t="s">
        <v>44</v>
      </c>
    </row>
    <row r="29" spans="1:3" ht="15.6" x14ac:dyDescent="0.3">
      <c r="A29" s="36"/>
    </row>
    <row r="30" spans="1:3" ht="15.6" x14ac:dyDescent="0.3">
      <c r="A30" s="37" t="s">
        <v>48</v>
      </c>
    </row>
    <row r="32" spans="1:3" ht="15.6" x14ac:dyDescent="0.3">
      <c r="A32" s="38" t="s">
        <v>49</v>
      </c>
    </row>
    <row r="34" spans="1:1" ht="15.6" x14ac:dyDescent="0.3">
      <c r="A34" s="35" t="s">
        <v>50</v>
      </c>
    </row>
    <row r="35" spans="1:1" ht="15.6" x14ac:dyDescent="0.3">
      <c r="A35" s="22"/>
    </row>
    <row r="36" spans="1:1" ht="15.6" x14ac:dyDescent="0.3">
      <c r="A36" s="38" t="s">
        <v>45</v>
      </c>
    </row>
    <row r="37" spans="1:1" ht="15.6" x14ac:dyDescent="0.3">
      <c r="A37" s="39" t="s">
        <v>46</v>
      </c>
    </row>
    <row r="38" spans="1:1" ht="15.6" x14ac:dyDescent="0.3">
      <c r="A38" s="22"/>
    </row>
    <row r="39" spans="1:1" ht="31.2" x14ac:dyDescent="0.3">
      <c r="A39" s="23" t="s">
        <v>47</v>
      </c>
    </row>
    <row r="40" spans="1:1" ht="15.6" x14ac:dyDescent="0.3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 данные и решение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 Luzetskiy</cp:lastModifiedBy>
  <dcterms:created xsi:type="dcterms:W3CDTF">2020-04-24T14:09:26Z</dcterms:created>
  <dcterms:modified xsi:type="dcterms:W3CDTF">2026-04-30T05:39:26Z</dcterms:modified>
</cp:coreProperties>
</file>