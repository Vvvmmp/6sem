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Экономика\lab1\"/>
    </mc:Choice>
  </mc:AlternateContent>
  <xr:revisionPtr revIDLastSave="0" documentId="13_ncr:1_{E735CFAA-D8B9-4A49-BDE8-58C48AEBEED5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ex1" sheetId="1" r:id="rId1"/>
    <sheet name="ex2" sheetId="2" r:id="rId2"/>
    <sheet name="ex3" sheetId="3" r:id="rId3"/>
    <sheet name="ex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4" l="1"/>
  <c r="O12" i="3"/>
  <c r="S16" i="3"/>
  <c r="O18" i="3"/>
  <c r="O19" i="3"/>
  <c r="G8" i="4"/>
  <c r="O13" i="3"/>
  <c r="O6" i="3"/>
  <c r="R18" i="3"/>
  <c r="R16" i="3"/>
  <c r="O7" i="3"/>
  <c r="O22" i="3"/>
  <c r="O11" i="3"/>
  <c r="O9" i="3"/>
  <c r="O17" i="3"/>
  <c r="O5" i="3"/>
  <c r="R15" i="3"/>
  <c r="G22" i="4"/>
  <c r="G21" i="4"/>
  <c r="G20" i="4"/>
  <c r="G19" i="4"/>
  <c r="G17" i="4"/>
  <c r="G9" i="4"/>
  <c r="O4" i="3"/>
  <c r="O3" i="3"/>
  <c r="O16" i="3"/>
  <c r="O15" i="3"/>
  <c r="R19" i="3"/>
  <c r="R17" i="3"/>
  <c r="O10" i="3" l="1"/>
  <c r="H16" i="2"/>
  <c r="H20" i="2" s="1"/>
  <c r="H19" i="2"/>
  <c r="P12" i="1"/>
  <c r="Q12" i="1"/>
  <c r="O12" i="1"/>
  <c r="G12" i="1"/>
  <c r="N12" i="1"/>
  <c r="D12" i="1"/>
  <c r="M12" i="1"/>
  <c r="M6" i="1"/>
  <c r="M7" i="1"/>
  <c r="M8" i="1"/>
  <c r="M9" i="1"/>
  <c r="M10" i="1"/>
  <c r="M11" i="1"/>
  <c r="M5" i="1"/>
  <c r="L5" i="1"/>
  <c r="L12" i="1"/>
  <c r="L6" i="1"/>
  <c r="L7" i="1"/>
  <c r="L8" i="1"/>
  <c r="L9" i="1"/>
  <c r="L10" i="1"/>
  <c r="L11" i="1"/>
  <c r="K12" i="1"/>
  <c r="J12" i="1"/>
  <c r="K6" i="1"/>
  <c r="K7" i="1"/>
  <c r="K8" i="1"/>
  <c r="K9" i="1"/>
  <c r="K10" i="1"/>
  <c r="K11" i="1"/>
  <c r="K5" i="1"/>
  <c r="J5" i="1"/>
  <c r="J6" i="1"/>
  <c r="J7" i="1"/>
  <c r="J8" i="1"/>
  <c r="J9" i="1"/>
  <c r="J10" i="1"/>
  <c r="J11" i="1"/>
  <c r="C12" i="1"/>
  <c r="H17" i="2" l="1"/>
</calcChain>
</file>

<file path=xl/sharedStrings.xml><?xml version="1.0" encoding="utf-8"?>
<sst xmlns="http://schemas.openxmlformats.org/spreadsheetml/2006/main" count="123" uniqueCount="92">
  <si>
    <t>Задача 6 вариант</t>
  </si>
  <si>
    <t>Группы ОС / тыс.руб.</t>
  </si>
  <si>
    <t>ОСн.г.</t>
  </si>
  <si>
    <t>Стоимость ОСвведенных</t>
  </si>
  <si>
    <t>Дата ввода ОС</t>
  </si>
  <si>
    <t>Месяцы работы вводимых ОС</t>
  </si>
  <si>
    <t>Стоимость ОСвыведенных</t>
  </si>
  <si>
    <t>Дата вывода ОС</t>
  </si>
  <si>
    <t>Месяцы работы выводимых ОС</t>
  </si>
  <si>
    <t>Структура на н.г., %</t>
  </si>
  <si>
    <t>ОСк.г.</t>
  </si>
  <si>
    <t>Структура на к.г., %</t>
  </si>
  <si>
    <t>ОСср.г.</t>
  </si>
  <si>
    <t>Кобн (по ОСср.г.)</t>
  </si>
  <si>
    <t>Квыб (по ОСср.г.)</t>
  </si>
  <si>
    <t>Доля акт части, % (по ОСср.г.)</t>
  </si>
  <si>
    <t>Доля пассивной части, % (по ОСср.г)</t>
  </si>
  <si>
    <t>Здания</t>
  </si>
  <si>
    <t>Сооружения</t>
  </si>
  <si>
    <t>Машины и оборудование</t>
  </si>
  <si>
    <t>Инструменты</t>
  </si>
  <si>
    <t>Хоз. инвентарь</t>
  </si>
  <si>
    <t>Транспортные средства</t>
  </si>
  <si>
    <t>Прочие ОФ</t>
  </si>
  <si>
    <t>Итого</t>
  </si>
  <si>
    <t>Показатели</t>
  </si>
  <si>
    <t>Варианты</t>
  </si>
  <si>
    <t>Стоимость ОС на начало года, тыс. руб., в т.ч.</t>
  </si>
  <si>
    <t>непроизводственные ОС</t>
  </si>
  <si>
    <t>неустановленные ОС</t>
  </si>
  <si>
    <t>ОС в запасе</t>
  </si>
  <si>
    <t>полностью самортизированные ОС</t>
  </si>
  <si>
    <t>Введенные , руб.</t>
  </si>
  <si>
    <t>Дата ввода</t>
  </si>
  <si>
    <t>Месяцы работы</t>
  </si>
  <si>
    <t>Выведенные ОС, руб.</t>
  </si>
  <si>
    <t>Дата вывода</t>
  </si>
  <si>
    <t>Начислено амортизационных отчислений за год, тыс. руб.</t>
  </si>
  <si>
    <t>Среднегодовая стоимость ОПС, тыс. руб.</t>
  </si>
  <si>
    <t>Средняя норма амортизации, %</t>
  </si>
  <si>
    <t>Средний фактический срок эксплуатации, лет</t>
  </si>
  <si>
    <t>Начисленный износ (АО) за период эксплуатации</t>
  </si>
  <si>
    <t>Коэффициент износа</t>
  </si>
  <si>
    <t xml:space="preserve">Таблица 1 Показатели </t>
  </si>
  <si>
    <t>Отчетный год</t>
  </si>
  <si>
    <t>Объем произодства продукции, шт.</t>
  </si>
  <si>
    <t>А</t>
  </si>
  <si>
    <t>Б</t>
  </si>
  <si>
    <t>В</t>
  </si>
  <si>
    <t>Цена продукции, руб./шт.</t>
  </si>
  <si>
    <t>Себестоимость продукции, руб./шт.</t>
  </si>
  <si>
    <t>Среднегодовая стоимость ОС, тыс. руб.</t>
  </si>
  <si>
    <t>в т.ч. здания, сооружения, инвентарь</t>
  </si>
  <si>
    <t>Численность работников, чел.</t>
  </si>
  <si>
    <t>Плановый год</t>
  </si>
  <si>
    <t>Рост среднегодовой стоимости ОС, %</t>
  </si>
  <si>
    <t>в т.ч. здания, сооружения, инвентарь, %</t>
  </si>
  <si>
    <t>Сокращение численности работников, %</t>
  </si>
  <si>
    <t>Таблица 2</t>
  </si>
  <si>
    <t>Изменение ФО, %</t>
  </si>
  <si>
    <t>Изменение ФЕ, %</t>
  </si>
  <si>
    <t>Изменение ФВ, %</t>
  </si>
  <si>
    <t>Изменение ТФВ, %</t>
  </si>
  <si>
    <t>Изменение Rос, %</t>
  </si>
  <si>
    <t>отчет</t>
  </si>
  <si>
    <t>ФО, руб.</t>
  </si>
  <si>
    <t>ФЕ, руб.</t>
  </si>
  <si>
    <t>ФВ,руб.</t>
  </si>
  <si>
    <t>ТВ, руб.</t>
  </si>
  <si>
    <t>Р, %</t>
  </si>
  <si>
    <t>план</t>
  </si>
  <si>
    <t>прибыль</t>
  </si>
  <si>
    <t>рп</t>
  </si>
  <si>
    <t>себестоим.</t>
  </si>
  <si>
    <t>сред.год.</t>
  </si>
  <si>
    <t>числ</t>
  </si>
  <si>
    <t>Длительность оборота оборотных средств факт, дни</t>
  </si>
  <si>
    <t>Длительность оборота оборотных средств план, дни</t>
  </si>
  <si>
    <t>Средний остаток ОбС за период, тыс. руб.</t>
  </si>
  <si>
    <t>Число дней в периодне, дни</t>
  </si>
  <si>
    <t>Реализованная продукция факт, тыс. руб.</t>
  </si>
  <si>
    <t>Реализованная продукция план, тыс. руб.</t>
  </si>
  <si>
    <t>Прирост реализованной продукции, тыс. руб.</t>
  </si>
  <si>
    <t>Задача 2</t>
  </si>
  <si>
    <t>Реализованная продукция, тыс. руб.</t>
  </si>
  <si>
    <t>Средний остаток ОбС за период факт, тыс. руб.</t>
  </si>
  <si>
    <t>Коэффициент оборачиваемости факт</t>
  </si>
  <si>
    <t>Коэффициент оборачиваемости план</t>
  </si>
  <si>
    <t>Длительность одного оборота ОбС факт, дни</t>
  </si>
  <si>
    <t>Длительность одного оборота ОбСплан, дни</t>
  </si>
  <si>
    <t>Средний остаток ОбС за период план, тыс. руб.</t>
  </si>
  <si>
    <t>Размер высвобождаемых ОбС, тыс.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</si>
</sst>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19]d\ mmm;@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5">
    <xf numFmtId="0" fontId="0" fillId="0" borderId="0" xfId="0"/>
    <xf numFmtId="0" fontId="2" fillId="0" borderId="0" xfId="1"/>
    <xf numFmtId="0" fontId="4" fillId="0" borderId="3" xfId="1" applyFont="1" applyBorder="1"/>
    <xf numFmtId="1" fontId="4" fillId="0" borderId="3" xfId="1" applyNumberFormat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16" fontId="4" fillId="0" borderId="3" xfId="1" applyNumberFormat="1" applyFont="1" applyBorder="1" applyAlignment="1">
      <alignment horizontal="center"/>
    </xf>
    <xf numFmtId="2" fontId="4" fillId="0" borderId="3" xfId="1" applyNumberFormat="1" applyFont="1" applyBorder="1" applyAlignment="1">
      <alignment horizontal="center"/>
    </xf>
    <xf numFmtId="0" fontId="4" fillId="4" borderId="3" xfId="1" applyFont="1" applyFill="1" applyBorder="1"/>
    <xf numFmtId="0" fontId="5" fillId="0" borderId="3" xfId="1" applyFont="1" applyBorder="1"/>
    <xf numFmtId="1" fontId="5" fillId="0" borderId="3" xfId="1" applyNumberFormat="1" applyFont="1" applyBorder="1" applyAlignment="1">
      <alignment horizontal="center"/>
    </xf>
    <xf numFmtId="2" fontId="5" fillId="0" borderId="3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165" fontId="4" fillId="0" borderId="3" xfId="1" applyNumberFormat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16" fontId="4" fillId="0" borderId="3" xfId="1" applyNumberFormat="1" applyFont="1" applyBorder="1" applyAlignment="1">
      <alignment horizontal="center"/>
    </xf>
    <xf numFmtId="0" fontId="6" fillId="2" borderId="3" xfId="1" applyFont="1" applyFill="1" applyBorder="1" applyAlignment="1">
      <alignment horizontal="center" vertical="top" wrapText="1"/>
    </xf>
    <xf numFmtId="0" fontId="8" fillId="3" borderId="3" xfId="1" applyFont="1" applyFill="1" applyBorder="1" applyAlignment="1">
      <alignment horizontal="center"/>
    </xf>
    <xf numFmtId="166" fontId="8" fillId="3" borderId="3" xfId="1" applyNumberFormat="1" applyFont="1" applyFill="1" applyBorder="1" applyAlignment="1">
      <alignment horizontal="center"/>
    </xf>
    <xf numFmtId="166" fontId="8" fillId="0" borderId="3" xfId="1" applyNumberFormat="1" applyFont="1" applyFill="1" applyBorder="1" applyAlignment="1">
      <alignment horizontal="center"/>
    </xf>
    <xf numFmtId="164" fontId="3" fillId="3" borderId="3" xfId="1" applyNumberFormat="1" applyFont="1" applyFill="1" applyBorder="1" applyAlignment="1">
      <alignment horizontal="center"/>
    </xf>
    <xf numFmtId="0" fontId="4" fillId="0" borderId="3" xfId="1" applyFont="1" applyBorder="1" applyAlignment="1">
      <alignment horizontal="center" wrapText="1"/>
    </xf>
    <xf numFmtId="0" fontId="5" fillId="3" borderId="3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2" borderId="3" xfId="1" applyFont="1" applyFill="1" applyBorder="1" applyAlignment="1">
      <alignment horizontal="center" vertical="top" wrapText="1"/>
    </xf>
    <xf numFmtId="0" fontId="9" fillId="0" borderId="3" xfId="1" applyFont="1" applyBorder="1"/>
    <xf numFmtId="0" fontId="6" fillId="3" borderId="3" xfId="1" applyFont="1" applyFill="1" applyBorder="1" applyAlignment="1">
      <alignment horizontal="center" vertical="top" wrapText="1"/>
    </xf>
    <xf numFmtId="0" fontId="3" fillId="0" borderId="3" xfId="1" applyFont="1" applyBorder="1"/>
    <xf numFmtId="2" fontId="2" fillId="0" borderId="3" xfId="1" applyNumberFormat="1" applyBorder="1"/>
    <xf numFmtId="0" fontId="11" fillId="3" borderId="3" xfId="1" applyFont="1" applyFill="1" applyBorder="1"/>
    <xf numFmtId="0" fontId="3" fillId="0" borderId="3" xfId="1" applyFont="1" applyFill="1" applyBorder="1"/>
    <xf numFmtId="0" fontId="13" fillId="3" borderId="3" xfId="1" applyFont="1" applyFill="1" applyBorder="1"/>
    <xf numFmtId="0" fontId="14" fillId="0" borderId="3" xfId="1" applyFont="1" applyBorder="1"/>
    <xf numFmtId="0" fontId="3" fillId="0" borderId="0" xfId="1" applyFont="1" applyFill="1" applyBorder="1"/>
    <xf numFmtId="2" fontId="1" fillId="0" borderId="3" xfId="1" applyNumberFormat="1" applyFont="1" applyBorder="1"/>
    <xf numFmtId="0" fontId="4" fillId="0" borderId="3" xfId="2" applyFont="1" applyBorder="1"/>
    <xf numFmtId="0" fontId="4" fillId="0" borderId="3" xfId="2" applyFont="1" applyBorder="1" applyAlignment="1">
      <alignment horizontal="center"/>
    </xf>
    <xf numFmtId="0" fontId="15" fillId="0" borderId="0" xfId="2" applyFont="1"/>
    <xf numFmtId="0" fontId="4" fillId="0" borderId="0" xfId="2" applyFont="1"/>
    <xf numFmtId="0" fontId="6" fillId="2" borderId="3" xfId="2" applyFont="1" applyFill="1" applyBorder="1" applyAlignment="1">
      <alignment horizontal="center" vertical="top" wrapText="1"/>
    </xf>
    <xf numFmtId="0" fontId="8" fillId="3" borderId="3" xfId="2" applyFont="1" applyFill="1" applyBorder="1"/>
    <xf numFmtId="0" fontId="4" fillId="0" borderId="3" xfId="2" applyFont="1" applyBorder="1" applyAlignment="1">
      <alignment wrapText="1"/>
    </xf>
    <xf numFmtId="0" fontId="5" fillId="3" borderId="3" xfId="2" applyFont="1" applyFill="1" applyBorder="1"/>
    <xf numFmtId="166" fontId="8" fillId="3" borderId="3" xfId="2" applyNumberFormat="1" applyFont="1" applyFill="1" applyBorder="1" applyAlignment="1">
      <alignment horizontal="center"/>
    </xf>
    <xf numFmtId="166" fontId="8" fillId="0" borderId="3" xfId="2" applyNumberFormat="1" applyFont="1" applyFill="1" applyBorder="1" applyAlignment="1">
      <alignment horizontal="center"/>
    </xf>
    <xf numFmtId="0" fontId="8" fillId="0" borderId="3" xfId="2" applyFont="1" applyFill="1" applyBorder="1"/>
    <xf numFmtId="2" fontId="4" fillId="2" borderId="1" xfId="1" applyNumberFormat="1" applyFont="1" applyFill="1" applyBorder="1" applyAlignment="1">
      <alignment horizontal="center" wrapText="1"/>
    </xf>
    <xf numFmtId="2" fontId="4" fillId="2" borderId="2" xfId="1" applyNumberFormat="1" applyFont="1" applyFill="1" applyBorder="1" applyAlignment="1">
      <alignment horizontal="center" wrapText="1"/>
    </xf>
    <xf numFmtId="0" fontId="3" fillId="3" borderId="5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0" fontId="9" fillId="0" borderId="8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9" fillId="0" borderId="9" xfId="1" applyFont="1" applyBorder="1" applyAlignment="1">
      <alignment horizontal="center"/>
    </xf>
    <xf numFmtId="0" fontId="9" fillId="0" borderId="10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11" xfId="1" applyFont="1" applyBorder="1" applyAlignment="1">
      <alignment horizontal="center"/>
    </xf>
    <xf numFmtId="0" fontId="12" fillId="2" borderId="3" xfId="1" applyFont="1" applyFill="1" applyBorder="1" applyAlignment="1">
      <alignment horizontal="center" vertical="top" wrapText="1"/>
    </xf>
    <xf numFmtId="0" fontId="10" fillId="2" borderId="3" xfId="1" applyFont="1" applyFill="1" applyBorder="1" applyAlignment="1">
      <alignment horizontal="center" vertical="top" wrapText="1"/>
    </xf>
    <xf numFmtId="0" fontId="6" fillId="2" borderId="3" xfId="2" applyFont="1" applyFill="1" applyBorder="1" applyAlignment="1">
      <alignment horizontal="center" vertical="top" wrapText="1"/>
    </xf>
    <xf numFmtId="0" fontId="7" fillId="2" borderId="3" xfId="2" applyFont="1" applyFill="1" applyBorder="1" applyAlignment="1">
      <alignment horizontal="center" vertical="top" wrapText="1"/>
    </xf>
  </cellXfs>
  <cellStyles count="3">
    <cellStyle name="Обычный" xfId="0" builtinId="0"/>
    <cellStyle name="Обычный 2" xfId="1" xr:uid="{13574826-44E2-4F13-8378-7195319D5EF3}"/>
    <cellStyle name="Обычный 3" xfId="2" xr:uid="{5DD02C4A-D66F-45C6-9AE5-2CB403A82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2"/>
  <sheetViews>
    <sheetView zoomScale="118" workbookViewId="0">
      <selection activeCell="G18" sqref="G18"/>
    </sheetView>
  </sheetViews>
  <sheetFormatPr defaultRowHeight="14.4" x14ac:dyDescent="0.3"/>
  <cols>
    <col min="1" max="2" width="8.88671875" customWidth="1"/>
    <col min="17" max="17" width="8.88671875" customWidth="1"/>
  </cols>
  <sheetData>
    <row r="2" spans="2:17" x14ac:dyDescent="0.3">
      <c r="B2" s="50" t="s">
        <v>0</v>
      </c>
      <c r="C2" s="5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x14ac:dyDescent="0.3">
      <c r="B3" s="48" t="s">
        <v>1</v>
      </c>
      <c r="C3" s="48" t="s">
        <v>2</v>
      </c>
      <c r="D3" s="48" t="s">
        <v>3</v>
      </c>
      <c r="E3" s="48" t="s">
        <v>4</v>
      </c>
      <c r="F3" s="48" t="s">
        <v>5</v>
      </c>
      <c r="G3" s="48" t="s">
        <v>6</v>
      </c>
      <c r="H3" s="48" t="s">
        <v>7</v>
      </c>
      <c r="I3" s="48" t="s">
        <v>8</v>
      </c>
      <c r="J3" s="48" t="s">
        <v>9</v>
      </c>
      <c r="K3" s="48" t="s">
        <v>10</v>
      </c>
      <c r="L3" s="48" t="s">
        <v>11</v>
      </c>
      <c r="M3" s="48" t="s">
        <v>12</v>
      </c>
      <c r="N3" s="48" t="s">
        <v>13</v>
      </c>
      <c r="O3" s="48" t="s">
        <v>14</v>
      </c>
      <c r="P3" s="48" t="s">
        <v>15</v>
      </c>
      <c r="Q3" s="48" t="s">
        <v>16</v>
      </c>
    </row>
    <row r="4" spans="2:17" ht="62.4" customHeight="1" x14ac:dyDescent="0.3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r="5" spans="2:17" x14ac:dyDescent="0.3">
      <c r="B5" s="2" t="s">
        <v>17</v>
      </c>
      <c r="C5" s="4">
        <v>1055</v>
      </c>
      <c r="D5" s="4">
        <v>25</v>
      </c>
      <c r="E5" s="5">
        <v>45383</v>
      </c>
      <c r="F5" s="3">
        <v>9</v>
      </c>
      <c r="G5" s="4">
        <v>0</v>
      </c>
      <c r="H5" s="3">
        <v>0</v>
      </c>
      <c r="I5" s="3">
        <v>0</v>
      </c>
      <c r="J5" s="6">
        <f>(C5/$C$12)*100</f>
        <v>12.273150302466265</v>
      </c>
      <c r="K5" s="3">
        <f>C5+D5-G5</f>
        <v>1080</v>
      </c>
      <c r="L5" s="6">
        <f>(K5/$K$12)*100</f>
        <v>11.974720035480651</v>
      </c>
      <c r="M5" s="3">
        <f>C5+D5*F5/12-G5*(12-I5)/12</f>
        <v>1073.75</v>
      </c>
      <c r="N5" s="7"/>
      <c r="O5" s="7"/>
      <c r="P5" s="7"/>
      <c r="Q5" s="7"/>
    </row>
    <row r="6" spans="2:17" x14ac:dyDescent="0.3">
      <c r="B6" s="2" t="s">
        <v>18</v>
      </c>
      <c r="C6" s="4">
        <v>410</v>
      </c>
      <c r="D6" s="4">
        <v>15</v>
      </c>
      <c r="E6" s="5">
        <v>45413</v>
      </c>
      <c r="F6" s="3">
        <v>8</v>
      </c>
      <c r="G6" s="4">
        <v>15</v>
      </c>
      <c r="H6" s="5">
        <v>45078</v>
      </c>
      <c r="I6" s="3">
        <v>5</v>
      </c>
      <c r="J6" s="6">
        <f t="shared" ref="J6:J11" si="0">(C6/$C$12)*100</f>
        <v>4.7696603071195911</v>
      </c>
      <c r="K6" s="3">
        <f t="shared" ref="K6:K11" si="1">C6+D6-G6</f>
        <v>410</v>
      </c>
      <c r="L6" s="6">
        <f t="shared" ref="L6:L11" si="2">(K6/$K$12)*100</f>
        <v>4.5459585319880249</v>
      </c>
      <c r="M6" s="3">
        <f t="shared" ref="M6:M11" si="3">C6+D6*F6/12-G6*(12-I6)/12</f>
        <v>411.25</v>
      </c>
      <c r="N6" s="7"/>
      <c r="O6" s="7"/>
      <c r="P6" s="7"/>
      <c r="Q6" s="7"/>
    </row>
    <row r="7" spans="2:17" x14ac:dyDescent="0.3">
      <c r="B7" s="2" t="s">
        <v>19</v>
      </c>
      <c r="C7" s="4">
        <v>6250</v>
      </c>
      <c r="D7" s="4">
        <v>560</v>
      </c>
      <c r="E7" s="5">
        <v>45323</v>
      </c>
      <c r="F7" s="3">
        <v>11</v>
      </c>
      <c r="G7" s="4">
        <v>114</v>
      </c>
      <c r="H7" s="5">
        <v>45597</v>
      </c>
      <c r="I7" s="3">
        <v>10</v>
      </c>
      <c r="J7" s="6">
        <f t="shared" si="0"/>
        <v>72.70823638901814</v>
      </c>
      <c r="K7" s="3">
        <f t="shared" si="1"/>
        <v>6696</v>
      </c>
      <c r="L7" s="6">
        <f t="shared" si="2"/>
        <v>74.243264219980048</v>
      </c>
      <c r="M7" s="3">
        <f t="shared" si="3"/>
        <v>6744.333333333333</v>
      </c>
      <c r="N7" s="7"/>
      <c r="O7" s="7"/>
      <c r="P7" s="7"/>
      <c r="Q7" s="7"/>
    </row>
    <row r="8" spans="2:17" x14ac:dyDescent="0.3">
      <c r="B8" s="2" t="s">
        <v>20</v>
      </c>
      <c r="C8" s="4">
        <v>300</v>
      </c>
      <c r="D8" s="4">
        <v>20</v>
      </c>
      <c r="E8" s="13">
        <v>45566</v>
      </c>
      <c r="F8" s="3">
        <v>3</v>
      </c>
      <c r="G8" s="4">
        <v>20</v>
      </c>
      <c r="H8" s="5">
        <v>45627</v>
      </c>
      <c r="I8" s="3">
        <v>11</v>
      </c>
      <c r="J8" s="6">
        <f t="shared" si="0"/>
        <v>3.4899953466728708</v>
      </c>
      <c r="K8" s="3">
        <f t="shared" si="1"/>
        <v>300</v>
      </c>
      <c r="L8" s="6">
        <f t="shared" si="2"/>
        <v>3.3263111209668477</v>
      </c>
      <c r="M8" s="3">
        <f t="shared" si="3"/>
        <v>303.33333333333331</v>
      </c>
      <c r="N8" s="7"/>
      <c r="O8" s="7"/>
      <c r="P8" s="7"/>
      <c r="Q8" s="7"/>
    </row>
    <row r="9" spans="2:17" x14ac:dyDescent="0.3">
      <c r="B9" s="2" t="s">
        <v>21</v>
      </c>
      <c r="C9" s="4">
        <v>190</v>
      </c>
      <c r="D9" s="4">
        <v>0</v>
      </c>
      <c r="E9" s="3">
        <v>0</v>
      </c>
      <c r="F9" s="3">
        <v>0</v>
      </c>
      <c r="G9" s="4">
        <v>45</v>
      </c>
      <c r="H9" s="5">
        <v>45352</v>
      </c>
      <c r="I9" s="3">
        <v>2</v>
      </c>
      <c r="J9" s="6">
        <f t="shared" si="0"/>
        <v>2.2103303862261519</v>
      </c>
      <c r="K9" s="3">
        <f t="shared" si="1"/>
        <v>145</v>
      </c>
      <c r="L9" s="6">
        <f t="shared" si="2"/>
        <v>1.607717041800643</v>
      </c>
      <c r="M9" s="3">
        <f t="shared" si="3"/>
        <v>152.5</v>
      </c>
      <c r="N9" s="7"/>
      <c r="O9" s="7"/>
      <c r="P9" s="7"/>
      <c r="Q9" s="7"/>
    </row>
    <row r="10" spans="2:17" x14ac:dyDescent="0.3">
      <c r="B10" s="2" t="s">
        <v>22</v>
      </c>
      <c r="C10" s="4">
        <v>288</v>
      </c>
      <c r="D10" s="4">
        <v>0</v>
      </c>
      <c r="E10" s="3">
        <v>0</v>
      </c>
      <c r="F10" s="3">
        <v>0</v>
      </c>
      <c r="G10" s="4">
        <v>10</v>
      </c>
      <c r="H10" s="5">
        <v>45170</v>
      </c>
      <c r="I10" s="3">
        <v>8</v>
      </c>
      <c r="J10" s="6">
        <f t="shared" si="0"/>
        <v>3.350395532805956</v>
      </c>
      <c r="K10" s="3">
        <f t="shared" si="1"/>
        <v>278</v>
      </c>
      <c r="L10" s="6">
        <f t="shared" si="2"/>
        <v>3.0823816387626124</v>
      </c>
      <c r="M10" s="3">
        <f t="shared" si="3"/>
        <v>284.66666666666669</v>
      </c>
      <c r="N10" s="7"/>
      <c r="O10" s="7"/>
      <c r="P10" s="7"/>
      <c r="Q10" s="7"/>
    </row>
    <row r="11" spans="2:17" x14ac:dyDescent="0.3">
      <c r="B11" s="2" t="s">
        <v>23</v>
      </c>
      <c r="C11" s="4">
        <v>103</v>
      </c>
      <c r="D11" s="4">
        <v>18</v>
      </c>
      <c r="E11" s="5">
        <v>45597</v>
      </c>
      <c r="F11" s="3">
        <v>2</v>
      </c>
      <c r="G11" s="4">
        <v>11</v>
      </c>
      <c r="H11" s="5">
        <v>45383</v>
      </c>
      <c r="I11" s="3">
        <v>3</v>
      </c>
      <c r="J11" s="6">
        <f t="shared" si="0"/>
        <v>1.1982317356910193</v>
      </c>
      <c r="K11" s="3">
        <f t="shared" si="1"/>
        <v>110</v>
      </c>
      <c r="L11" s="6">
        <f t="shared" si="2"/>
        <v>1.2196474110211775</v>
      </c>
      <c r="M11" s="3">
        <f t="shared" si="3"/>
        <v>97.75</v>
      </c>
      <c r="N11" s="7"/>
      <c r="O11" s="7"/>
      <c r="P11" s="7"/>
      <c r="Q11" s="7"/>
    </row>
    <row r="12" spans="2:17" x14ac:dyDescent="0.3">
      <c r="B12" s="8" t="s">
        <v>24</v>
      </c>
      <c r="C12" s="12">
        <f>SUM(C5:C11)</f>
        <v>8596</v>
      </c>
      <c r="D12" s="12">
        <f>SUM(D5:D11)</f>
        <v>638</v>
      </c>
      <c r="E12" s="7"/>
      <c r="F12" s="7"/>
      <c r="G12" s="12">
        <f>SUM(G5:G11)</f>
        <v>215</v>
      </c>
      <c r="H12" s="7"/>
      <c r="I12" s="7"/>
      <c r="J12" s="9">
        <f>SUM(J5:J11)</f>
        <v>100</v>
      </c>
      <c r="K12" s="9">
        <f>SUM(K5:K11)</f>
        <v>9019</v>
      </c>
      <c r="L12" s="9">
        <f>SUM(L5:L11)</f>
        <v>100</v>
      </c>
      <c r="M12" s="9">
        <f>SUM(M5:M11)</f>
        <v>9067.5833333333321</v>
      </c>
      <c r="N12" s="11">
        <f>D12/K12</f>
        <v>7.0739549839228297E-2</v>
      </c>
      <c r="O12" s="11">
        <f>G12/C12</f>
        <v>2.5011633317822243E-2</v>
      </c>
      <c r="P12" s="10">
        <f>(M7+M8+M10)/M12*100</f>
        <v>80.863148027313429</v>
      </c>
      <c r="Q12" s="10">
        <f>SUM(M5:M6)/M12*100</f>
        <v>16.377020705627192</v>
      </c>
    </row>
  </sheetData>
  <mergeCells count="17">
    <mergeCell ref="B3:B4"/>
    <mergeCell ref="C3:C4"/>
    <mergeCell ref="B2:C2"/>
    <mergeCell ref="N3:N4"/>
    <mergeCell ref="D3:D4"/>
    <mergeCell ref="E3:E4"/>
    <mergeCell ref="F3:F4"/>
    <mergeCell ref="G3:G4"/>
    <mergeCell ref="O3:O4"/>
    <mergeCell ref="P3:P4"/>
    <mergeCell ref="Q3:Q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79A5-F159-48E3-AE1F-9508377C99A1}">
  <dimension ref="B2:L21"/>
  <sheetViews>
    <sheetView topLeftCell="B1" zoomScale="83" workbookViewId="0">
      <selection activeCell="H17" sqref="H17"/>
    </sheetView>
  </sheetViews>
  <sheetFormatPr defaultRowHeight="14.4" x14ac:dyDescent="0.3"/>
  <cols>
    <col min="2" max="2" width="52.109375" customWidth="1"/>
  </cols>
  <sheetData>
    <row r="2" spans="2:12" x14ac:dyDescent="0.3">
      <c r="B2" s="51" t="s">
        <v>25</v>
      </c>
      <c r="C2" s="52" t="s">
        <v>26</v>
      </c>
      <c r="D2" s="52"/>
      <c r="E2" s="52"/>
      <c r="F2" s="52"/>
      <c r="G2" s="52"/>
      <c r="H2" s="52"/>
      <c r="I2" s="52"/>
      <c r="J2" s="52"/>
      <c r="K2" s="52"/>
      <c r="L2" s="52"/>
    </row>
    <row r="3" spans="2:12" x14ac:dyDescent="0.3">
      <c r="B3" s="51"/>
      <c r="C3" s="16"/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6">
        <v>7</v>
      </c>
      <c r="J3" s="16">
        <v>8</v>
      </c>
      <c r="K3" s="16">
        <v>9</v>
      </c>
      <c r="L3" s="16">
        <v>10</v>
      </c>
    </row>
    <row r="4" spans="2:12" x14ac:dyDescent="0.3">
      <c r="B4" s="14" t="s">
        <v>27</v>
      </c>
      <c r="C4" s="53"/>
      <c r="D4" s="54"/>
      <c r="E4" s="54"/>
      <c r="F4" s="54"/>
      <c r="G4" s="55"/>
      <c r="H4" s="14">
        <v>1870</v>
      </c>
      <c r="I4" s="53"/>
      <c r="J4" s="54"/>
      <c r="K4" s="54"/>
      <c r="L4" s="55"/>
    </row>
    <row r="5" spans="2:12" x14ac:dyDescent="0.3">
      <c r="B5" s="14" t="s">
        <v>28</v>
      </c>
      <c r="C5" s="56"/>
      <c r="D5" s="57"/>
      <c r="E5" s="57"/>
      <c r="F5" s="57"/>
      <c r="G5" s="58"/>
      <c r="H5" s="14">
        <v>0</v>
      </c>
      <c r="I5" s="56"/>
      <c r="J5" s="57"/>
      <c r="K5" s="57"/>
      <c r="L5" s="58"/>
    </row>
    <row r="6" spans="2:12" x14ac:dyDescent="0.3">
      <c r="B6" s="14" t="s">
        <v>29</v>
      </c>
      <c r="C6" s="56"/>
      <c r="D6" s="57"/>
      <c r="E6" s="57"/>
      <c r="F6" s="57"/>
      <c r="G6" s="58"/>
      <c r="H6" s="14">
        <v>22</v>
      </c>
      <c r="I6" s="56"/>
      <c r="J6" s="57"/>
      <c r="K6" s="57"/>
      <c r="L6" s="58"/>
    </row>
    <row r="7" spans="2:12" x14ac:dyDescent="0.3">
      <c r="B7" s="14" t="s">
        <v>30</v>
      </c>
      <c r="C7" s="56"/>
      <c r="D7" s="57"/>
      <c r="E7" s="57"/>
      <c r="F7" s="57"/>
      <c r="G7" s="58"/>
      <c r="H7" s="14">
        <v>31</v>
      </c>
      <c r="I7" s="56"/>
      <c r="J7" s="57"/>
      <c r="K7" s="57"/>
      <c r="L7" s="58"/>
    </row>
    <row r="8" spans="2:12" x14ac:dyDescent="0.3">
      <c r="B8" s="14" t="s">
        <v>31</v>
      </c>
      <c r="C8" s="56"/>
      <c r="D8" s="57"/>
      <c r="E8" s="57"/>
      <c r="F8" s="57"/>
      <c r="G8" s="58"/>
      <c r="H8" s="14">
        <v>10</v>
      </c>
      <c r="I8" s="56"/>
      <c r="J8" s="57"/>
      <c r="K8" s="57"/>
      <c r="L8" s="58"/>
    </row>
    <row r="9" spans="2:12" x14ac:dyDescent="0.3">
      <c r="B9" s="14" t="s">
        <v>32</v>
      </c>
      <c r="C9" s="56"/>
      <c r="D9" s="57"/>
      <c r="E9" s="57"/>
      <c r="F9" s="57"/>
      <c r="G9" s="58"/>
      <c r="H9" s="14">
        <v>248000</v>
      </c>
      <c r="I9" s="56"/>
      <c r="J9" s="57"/>
      <c r="K9" s="57"/>
      <c r="L9" s="58"/>
    </row>
    <row r="10" spans="2:12" x14ac:dyDescent="0.3">
      <c r="B10" s="14" t="s">
        <v>33</v>
      </c>
      <c r="C10" s="56"/>
      <c r="D10" s="57"/>
      <c r="E10" s="57"/>
      <c r="F10" s="57"/>
      <c r="G10" s="58"/>
      <c r="H10" s="15">
        <v>45139</v>
      </c>
      <c r="I10" s="56"/>
      <c r="J10" s="57"/>
      <c r="K10" s="57"/>
      <c r="L10" s="58"/>
    </row>
    <row r="11" spans="2:12" x14ac:dyDescent="0.3">
      <c r="B11" s="17" t="s">
        <v>34</v>
      </c>
      <c r="C11" s="56"/>
      <c r="D11" s="57"/>
      <c r="E11" s="57"/>
      <c r="F11" s="57"/>
      <c r="G11" s="58"/>
      <c r="H11" s="17">
        <v>5</v>
      </c>
      <c r="I11" s="56"/>
      <c r="J11" s="57"/>
      <c r="K11" s="57"/>
      <c r="L11" s="58"/>
    </row>
    <row r="12" spans="2:12" x14ac:dyDescent="0.3">
      <c r="B12" s="14" t="s">
        <v>35</v>
      </c>
      <c r="C12" s="56"/>
      <c r="D12" s="57"/>
      <c r="E12" s="57"/>
      <c r="F12" s="57"/>
      <c r="G12" s="58"/>
      <c r="H12" s="14">
        <v>56000</v>
      </c>
      <c r="I12" s="56"/>
      <c r="J12" s="57"/>
      <c r="K12" s="57"/>
      <c r="L12" s="58"/>
    </row>
    <row r="13" spans="2:12" x14ac:dyDescent="0.3">
      <c r="B13" s="14" t="s">
        <v>36</v>
      </c>
      <c r="C13" s="56"/>
      <c r="D13" s="57"/>
      <c r="E13" s="57"/>
      <c r="F13" s="57"/>
      <c r="G13" s="58"/>
      <c r="H13" s="15">
        <v>45245</v>
      </c>
      <c r="I13" s="56"/>
      <c r="J13" s="57"/>
      <c r="K13" s="57"/>
      <c r="L13" s="58"/>
    </row>
    <row r="14" spans="2:12" x14ac:dyDescent="0.3">
      <c r="B14" s="17" t="s">
        <v>34</v>
      </c>
      <c r="C14" s="56"/>
      <c r="D14" s="57"/>
      <c r="E14" s="57"/>
      <c r="F14" s="57"/>
      <c r="G14" s="58"/>
      <c r="H14" s="17">
        <v>10.5</v>
      </c>
      <c r="I14" s="56"/>
      <c r="J14" s="57"/>
      <c r="K14" s="57"/>
      <c r="L14" s="58"/>
    </row>
    <row r="15" spans="2:12" ht="30" customHeight="1" x14ac:dyDescent="0.3">
      <c r="B15" s="21" t="s">
        <v>37</v>
      </c>
      <c r="C15" s="56"/>
      <c r="D15" s="57"/>
      <c r="E15" s="57"/>
      <c r="F15" s="57"/>
      <c r="G15" s="58"/>
      <c r="H15" s="14">
        <v>111</v>
      </c>
      <c r="I15" s="56"/>
      <c r="J15" s="57"/>
      <c r="K15" s="57"/>
      <c r="L15" s="58"/>
    </row>
    <row r="16" spans="2:12" x14ac:dyDescent="0.3">
      <c r="B16" s="22" t="s">
        <v>38</v>
      </c>
      <c r="C16" s="56"/>
      <c r="D16" s="57"/>
      <c r="E16" s="57"/>
      <c r="F16" s="57"/>
      <c r="G16" s="58"/>
      <c r="H16" s="18">
        <f>((H4-H5-H6-H7-H8)*1000+H9*H11/12-H12*(12-H14)/12)/1000</f>
        <v>1903.3333333333333</v>
      </c>
      <c r="I16" s="56"/>
      <c r="J16" s="57"/>
      <c r="K16" s="57"/>
      <c r="L16" s="58"/>
    </row>
    <row r="17" spans="2:12" x14ac:dyDescent="0.3">
      <c r="B17" s="22" t="s">
        <v>39</v>
      </c>
      <c r="C17" s="56"/>
      <c r="D17" s="57"/>
      <c r="E17" s="57"/>
      <c r="F17" s="57"/>
      <c r="G17" s="58"/>
      <c r="H17" s="18">
        <f>H15*100/H16</f>
        <v>5.831873905429072</v>
      </c>
      <c r="I17" s="56"/>
      <c r="J17" s="57"/>
      <c r="K17" s="57"/>
      <c r="L17" s="58"/>
    </row>
    <row r="18" spans="2:12" x14ac:dyDescent="0.3">
      <c r="B18" s="23" t="s">
        <v>40</v>
      </c>
      <c r="C18" s="56"/>
      <c r="D18" s="57"/>
      <c r="E18" s="57"/>
      <c r="F18" s="57"/>
      <c r="G18" s="58"/>
      <c r="H18" s="19">
        <v>10</v>
      </c>
      <c r="I18" s="56"/>
      <c r="J18" s="57"/>
      <c r="K18" s="57"/>
      <c r="L18" s="58"/>
    </row>
    <row r="19" spans="2:12" x14ac:dyDescent="0.3">
      <c r="B19" s="22" t="s">
        <v>41</v>
      </c>
      <c r="C19" s="56"/>
      <c r="D19" s="57"/>
      <c r="E19" s="57"/>
      <c r="F19" s="57"/>
      <c r="G19" s="58"/>
      <c r="H19" s="18">
        <f>H15*H18</f>
        <v>1110</v>
      </c>
      <c r="I19" s="56"/>
      <c r="J19" s="57"/>
      <c r="K19" s="57"/>
      <c r="L19" s="58"/>
    </row>
    <row r="20" spans="2:12" x14ac:dyDescent="0.3">
      <c r="B20" s="24" t="s">
        <v>42</v>
      </c>
      <c r="C20" s="59"/>
      <c r="D20" s="60"/>
      <c r="E20" s="60"/>
      <c r="F20" s="60"/>
      <c r="G20" s="61"/>
      <c r="H20" s="20">
        <f>H19/H16</f>
        <v>0.58318739054290725</v>
      </c>
      <c r="I20" s="59"/>
      <c r="J20" s="60"/>
      <c r="K20" s="60"/>
      <c r="L20" s="61"/>
    </row>
    <row r="21" spans="2:12" x14ac:dyDescent="0.3">
      <c r="B21" s="25"/>
    </row>
  </sheetData>
  <mergeCells count="4">
    <mergeCell ref="B2:B3"/>
    <mergeCell ref="C2:L2"/>
    <mergeCell ref="C4:G20"/>
    <mergeCell ref="I4:L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2E61-7BB9-4FCD-9DDA-192E765AD52A}">
  <dimension ref="B2:S35"/>
  <sheetViews>
    <sheetView topLeftCell="A13" workbookViewId="0">
      <selection activeCell="P9" sqref="P9"/>
    </sheetView>
  </sheetViews>
  <sheetFormatPr defaultRowHeight="14.4" x14ac:dyDescent="0.3"/>
  <cols>
    <col min="2" max="2" width="29.44140625" customWidth="1"/>
    <col min="14" max="14" width="18.44140625" customWidth="1"/>
    <col min="15" max="15" width="11.44140625" bestFit="1" customWidth="1"/>
  </cols>
  <sheetData>
    <row r="2" spans="2:19" ht="18" x14ac:dyDescent="0.35">
      <c r="B2" s="71" t="s">
        <v>43</v>
      </c>
      <c r="C2" s="72" t="s">
        <v>26</v>
      </c>
      <c r="D2" s="72"/>
      <c r="E2" s="72"/>
      <c r="F2" s="72"/>
      <c r="G2" s="72"/>
      <c r="H2" s="72"/>
      <c r="I2" s="72"/>
      <c r="J2" s="72"/>
      <c r="K2" s="72"/>
      <c r="L2" s="72"/>
      <c r="N2" s="33" t="s">
        <v>58</v>
      </c>
      <c r="O2" s="28">
        <v>6</v>
      </c>
    </row>
    <row r="3" spans="2:19" x14ac:dyDescent="0.3">
      <c r="B3" s="71"/>
      <c r="C3" s="26">
        <v>1</v>
      </c>
      <c r="D3" s="26">
        <v>2</v>
      </c>
      <c r="E3" s="26">
        <v>3</v>
      </c>
      <c r="F3" s="26">
        <v>4</v>
      </c>
      <c r="G3" s="26">
        <v>5</v>
      </c>
      <c r="H3" s="26">
        <v>6</v>
      </c>
      <c r="I3" s="26">
        <v>7</v>
      </c>
      <c r="J3" s="26">
        <v>8</v>
      </c>
      <c r="K3" s="26">
        <v>9</v>
      </c>
      <c r="L3" s="26">
        <v>10</v>
      </c>
      <c r="N3" s="29" t="s">
        <v>59</v>
      </c>
      <c r="O3" s="30">
        <f>O9/O15*100-100</f>
        <v>7.7291381668946713</v>
      </c>
    </row>
    <row r="4" spans="2:19" ht="22.8" customHeight="1" x14ac:dyDescent="0.3">
      <c r="B4" s="26" t="s">
        <v>44</v>
      </c>
      <c r="C4" s="26"/>
      <c r="D4" s="26"/>
      <c r="E4" s="26"/>
      <c r="F4" s="26"/>
      <c r="G4" s="26"/>
      <c r="H4" s="26"/>
      <c r="I4" s="26"/>
      <c r="J4" s="26"/>
      <c r="K4" s="26"/>
      <c r="L4" s="26"/>
      <c r="N4" s="29" t="s">
        <v>60</v>
      </c>
      <c r="O4" s="30">
        <f t="shared" ref="O4:O7" si="0">O10/O16*100-100</f>
        <v>-7.174603174603206</v>
      </c>
    </row>
    <row r="5" spans="2:19" x14ac:dyDescent="0.3">
      <c r="B5" s="27" t="s">
        <v>45</v>
      </c>
      <c r="C5" s="27"/>
      <c r="D5" s="27"/>
      <c r="E5" s="27"/>
      <c r="F5" s="27"/>
      <c r="G5" s="27"/>
      <c r="H5" s="27"/>
      <c r="I5" s="27"/>
      <c r="J5" s="27"/>
      <c r="K5" s="27"/>
      <c r="L5" s="27"/>
      <c r="N5" s="29" t="s">
        <v>61</v>
      </c>
      <c r="O5" s="30">
        <f t="shared" si="0"/>
        <v>-10.000000000000014</v>
      </c>
    </row>
    <row r="6" spans="2:19" x14ac:dyDescent="0.3">
      <c r="B6" s="27" t="s">
        <v>46</v>
      </c>
      <c r="C6" s="62"/>
      <c r="D6" s="63"/>
      <c r="E6" s="63"/>
      <c r="F6" s="63"/>
      <c r="G6" s="64"/>
      <c r="H6" s="27">
        <v>4200</v>
      </c>
      <c r="I6" s="62"/>
      <c r="J6" s="63"/>
      <c r="K6" s="63"/>
      <c r="L6" s="64"/>
      <c r="N6" s="29" t="s">
        <v>62</v>
      </c>
      <c r="O6" s="30">
        <f t="shared" si="0"/>
        <v>-10.301507537688465</v>
      </c>
    </row>
    <row r="7" spans="2:19" x14ac:dyDescent="0.3">
      <c r="B7" s="27" t="s">
        <v>47</v>
      </c>
      <c r="C7" s="65"/>
      <c r="D7" s="66"/>
      <c r="E7" s="66"/>
      <c r="F7" s="66"/>
      <c r="G7" s="67"/>
      <c r="H7" s="27">
        <v>3000</v>
      </c>
      <c r="I7" s="65"/>
      <c r="J7" s="66"/>
      <c r="K7" s="66"/>
      <c r="L7" s="67"/>
      <c r="N7" s="29" t="s">
        <v>63</v>
      </c>
      <c r="O7" s="30">
        <f t="shared" si="0"/>
        <v>19.046822742474916</v>
      </c>
    </row>
    <row r="8" spans="2:19" x14ac:dyDescent="0.3">
      <c r="B8" s="27" t="s">
        <v>48</v>
      </c>
      <c r="C8" s="68"/>
      <c r="D8" s="69"/>
      <c r="E8" s="69"/>
      <c r="F8" s="69"/>
      <c r="G8" s="70"/>
      <c r="H8" s="27">
        <v>5100</v>
      </c>
      <c r="I8" s="68"/>
      <c r="J8" s="69"/>
      <c r="K8" s="69"/>
      <c r="L8" s="70"/>
      <c r="N8" s="31" t="s">
        <v>64</v>
      </c>
      <c r="O8" s="30"/>
    </row>
    <row r="9" spans="2:19" x14ac:dyDescent="0.3">
      <c r="B9" s="27" t="s">
        <v>49</v>
      </c>
      <c r="C9" s="27"/>
      <c r="D9" s="27"/>
      <c r="E9" s="27"/>
      <c r="F9" s="27"/>
      <c r="G9" s="27"/>
      <c r="H9" s="34"/>
      <c r="I9" s="27"/>
      <c r="J9" s="27"/>
      <c r="K9" s="27"/>
      <c r="L9" s="27"/>
      <c r="N9" s="32" t="s">
        <v>65</v>
      </c>
      <c r="O9" s="30">
        <f>(H6*H10+H7*H11+H8*H12)/(H17*1000)</f>
        <v>2.0270270270270272</v>
      </c>
    </row>
    <row r="10" spans="2:19" x14ac:dyDescent="0.3">
      <c r="B10" s="27" t="s">
        <v>46</v>
      </c>
      <c r="C10" s="62"/>
      <c r="D10" s="63"/>
      <c r="E10" s="63"/>
      <c r="F10" s="63"/>
      <c r="G10" s="64"/>
      <c r="H10" s="27">
        <v>350</v>
      </c>
      <c r="I10" s="62"/>
      <c r="J10" s="63"/>
      <c r="K10" s="63"/>
      <c r="L10" s="64"/>
      <c r="N10" s="32" t="s">
        <v>66</v>
      </c>
      <c r="O10" s="30">
        <f>1/O9</f>
        <v>0.49333333333333329</v>
      </c>
    </row>
    <row r="11" spans="2:19" x14ac:dyDescent="0.3">
      <c r="B11" s="27" t="s">
        <v>47</v>
      </c>
      <c r="C11" s="65"/>
      <c r="D11" s="66"/>
      <c r="E11" s="66"/>
      <c r="F11" s="66"/>
      <c r="G11" s="67"/>
      <c r="H11" s="27">
        <v>170</v>
      </c>
      <c r="I11" s="65"/>
      <c r="J11" s="66"/>
      <c r="K11" s="66"/>
      <c r="L11" s="67"/>
      <c r="N11" s="32" t="s">
        <v>67</v>
      </c>
      <c r="O11" s="30">
        <f>H17/H19*1000</f>
        <v>226.99386503067484</v>
      </c>
    </row>
    <row r="12" spans="2:19" x14ac:dyDescent="0.3">
      <c r="B12" s="27" t="s">
        <v>48</v>
      </c>
      <c r="C12" s="65"/>
      <c r="D12" s="66"/>
      <c r="E12" s="66"/>
      <c r="F12" s="66"/>
      <c r="G12" s="67"/>
      <c r="H12" s="27">
        <v>200</v>
      </c>
      <c r="I12" s="65"/>
      <c r="J12" s="66"/>
      <c r="K12" s="66"/>
      <c r="L12" s="67"/>
      <c r="N12" s="32" t="s">
        <v>68</v>
      </c>
      <c r="O12" s="30">
        <f>(H17-H18)/H19*1000</f>
        <v>208.58895705521471</v>
      </c>
    </row>
    <row r="13" spans="2:19" x14ac:dyDescent="0.3">
      <c r="B13" s="27" t="s">
        <v>50</v>
      </c>
      <c r="C13" s="65"/>
      <c r="D13" s="66"/>
      <c r="E13" s="66"/>
      <c r="F13" s="66"/>
      <c r="G13" s="67"/>
      <c r="H13" s="34"/>
      <c r="I13" s="65"/>
      <c r="J13" s="66"/>
      <c r="K13" s="66"/>
      <c r="L13" s="67"/>
      <c r="N13" s="32" t="s">
        <v>69</v>
      </c>
      <c r="O13" s="30">
        <f>O22/(H17*10)</f>
        <v>45.810810810810814</v>
      </c>
    </row>
    <row r="14" spans="2:19" x14ac:dyDescent="0.3">
      <c r="B14" s="27" t="s">
        <v>46</v>
      </c>
      <c r="C14" s="65"/>
      <c r="D14" s="66"/>
      <c r="E14" s="66"/>
      <c r="F14" s="66"/>
      <c r="G14" s="67"/>
      <c r="H14" s="27">
        <v>280</v>
      </c>
      <c r="I14" s="65"/>
      <c r="J14" s="66"/>
      <c r="K14" s="66"/>
      <c r="L14" s="67"/>
      <c r="N14" s="31" t="s">
        <v>70</v>
      </c>
      <c r="O14" s="30"/>
    </row>
    <row r="15" spans="2:19" x14ac:dyDescent="0.3">
      <c r="B15" s="27" t="s">
        <v>47</v>
      </c>
      <c r="C15" s="65"/>
      <c r="D15" s="66"/>
      <c r="E15" s="66"/>
      <c r="F15" s="66"/>
      <c r="G15" s="67"/>
      <c r="H15" s="27">
        <v>110</v>
      </c>
      <c r="I15" s="65"/>
      <c r="J15" s="66"/>
      <c r="K15" s="66"/>
      <c r="L15" s="67"/>
      <c r="N15" s="32" t="s">
        <v>65</v>
      </c>
      <c r="O15" s="30">
        <f>R15/R18</f>
        <v>1.8815958815958815</v>
      </c>
      <c r="Q15" t="s">
        <v>72</v>
      </c>
      <c r="R15">
        <f>H22*H26+H23*H27+H24*H28</f>
        <v>2924000</v>
      </c>
    </row>
    <row r="16" spans="2:19" x14ac:dyDescent="0.3">
      <c r="B16" s="27" t="s">
        <v>48</v>
      </c>
      <c r="C16" s="65"/>
      <c r="D16" s="66"/>
      <c r="E16" s="66"/>
      <c r="F16" s="66"/>
      <c r="G16" s="67"/>
      <c r="H16" s="27">
        <v>160</v>
      </c>
      <c r="I16" s="65"/>
      <c r="J16" s="66"/>
      <c r="K16" s="66"/>
      <c r="L16" s="67"/>
      <c r="N16" s="32" t="s">
        <v>66</v>
      </c>
      <c r="O16" s="30">
        <f>1/O15</f>
        <v>0.53146374829001375</v>
      </c>
      <c r="Q16" t="s">
        <v>73</v>
      </c>
      <c r="R16">
        <f>H22*H30+H23*H31+H24*H32</f>
        <v>2326000</v>
      </c>
      <c r="S16">
        <f>H18*1000*1.01</f>
        <v>121200</v>
      </c>
    </row>
    <row r="17" spans="2:18" x14ac:dyDescent="0.3">
      <c r="B17" s="27" t="s">
        <v>51</v>
      </c>
      <c r="C17" s="65"/>
      <c r="D17" s="66"/>
      <c r="E17" s="66"/>
      <c r="F17" s="66"/>
      <c r="G17" s="67"/>
      <c r="H17" s="27">
        <v>1480</v>
      </c>
      <c r="I17" s="65"/>
      <c r="J17" s="66"/>
      <c r="K17" s="66"/>
      <c r="L17" s="67"/>
      <c r="N17" s="32" t="s">
        <v>67</v>
      </c>
      <c r="O17" s="30">
        <f>R18/R19</f>
        <v>252.21540558963872</v>
      </c>
      <c r="Q17" t="s">
        <v>71</v>
      </c>
      <c r="R17">
        <f>R15-R16</f>
        <v>598000</v>
      </c>
    </row>
    <row r="18" spans="2:18" x14ac:dyDescent="0.3">
      <c r="B18" s="27" t="s">
        <v>52</v>
      </c>
      <c r="C18" s="65"/>
      <c r="D18" s="66"/>
      <c r="E18" s="66"/>
      <c r="F18" s="66"/>
      <c r="G18" s="67"/>
      <c r="H18" s="27">
        <v>120</v>
      </c>
      <c r="I18" s="65"/>
      <c r="J18" s="66"/>
      <c r="K18" s="66"/>
      <c r="L18" s="67"/>
      <c r="N18" s="32" t="s">
        <v>68</v>
      </c>
      <c r="O18" s="36">
        <f>(R18-S16)/R19</f>
        <v>232.54455156295649</v>
      </c>
      <c r="Q18" t="s">
        <v>74</v>
      </c>
      <c r="R18">
        <f>H17*1000*1.05</f>
        <v>1554000</v>
      </c>
    </row>
    <row r="19" spans="2:18" x14ac:dyDescent="0.3">
      <c r="B19" s="27" t="s">
        <v>53</v>
      </c>
      <c r="C19" s="68"/>
      <c r="D19" s="69"/>
      <c r="E19" s="69"/>
      <c r="F19" s="69"/>
      <c r="G19" s="70"/>
      <c r="H19" s="27">
        <v>6520</v>
      </c>
      <c r="I19" s="68"/>
      <c r="J19" s="69"/>
      <c r="K19" s="69"/>
      <c r="L19" s="70"/>
      <c r="N19" s="32" t="s">
        <v>69</v>
      </c>
      <c r="O19" s="30">
        <f>R17/R18*100</f>
        <v>38.481338481338483</v>
      </c>
      <c r="Q19" t="s">
        <v>75</v>
      </c>
      <c r="R19">
        <f>H19*(1-0.055)</f>
        <v>6161.4</v>
      </c>
    </row>
    <row r="20" spans="2:18" x14ac:dyDescent="0.3">
      <c r="B20" s="26" t="s">
        <v>54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2:18" x14ac:dyDescent="0.3">
      <c r="B21" s="27" t="s">
        <v>45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2:18" x14ac:dyDescent="0.3">
      <c r="B22" s="27" t="s">
        <v>46</v>
      </c>
      <c r="C22" s="62"/>
      <c r="D22" s="63"/>
      <c r="E22" s="63"/>
      <c r="F22" s="63"/>
      <c r="G22" s="64"/>
      <c r="H22" s="27">
        <v>4000</v>
      </c>
      <c r="I22" s="62"/>
      <c r="J22" s="63"/>
      <c r="K22" s="63"/>
      <c r="L22" s="64"/>
      <c r="N22" s="35" t="s">
        <v>71</v>
      </c>
      <c r="O22">
        <f>(H6*H10+H7*H11+H8*H12)-(H6*H14+H7*H15+H8*H16)</f>
        <v>678000</v>
      </c>
    </row>
    <row r="23" spans="2:18" x14ac:dyDescent="0.3">
      <c r="B23" s="27" t="s">
        <v>47</v>
      </c>
      <c r="C23" s="65"/>
      <c r="D23" s="66"/>
      <c r="E23" s="66"/>
      <c r="F23" s="66"/>
      <c r="G23" s="67"/>
      <c r="H23" s="27">
        <v>3100</v>
      </c>
      <c r="I23" s="65"/>
      <c r="J23" s="66"/>
      <c r="K23" s="66"/>
      <c r="L23" s="67"/>
    </row>
    <row r="24" spans="2:18" x14ac:dyDescent="0.3">
      <c r="B24" s="27" t="s">
        <v>48</v>
      </c>
      <c r="C24" s="65"/>
      <c r="D24" s="66"/>
      <c r="E24" s="66"/>
      <c r="F24" s="66"/>
      <c r="G24" s="67"/>
      <c r="H24" s="27">
        <v>5200</v>
      </c>
      <c r="I24" s="65"/>
      <c r="J24" s="66"/>
      <c r="K24" s="66"/>
      <c r="L24" s="67"/>
    </row>
    <row r="25" spans="2:18" x14ac:dyDescent="0.3">
      <c r="B25" s="27" t="s">
        <v>49</v>
      </c>
      <c r="C25" s="65"/>
      <c r="D25" s="66"/>
      <c r="E25" s="66"/>
      <c r="F25" s="66"/>
      <c r="G25" s="67"/>
      <c r="H25" s="34"/>
      <c r="I25" s="65"/>
      <c r="J25" s="66"/>
      <c r="K25" s="66"/>
      <c r="L25" s="67"/>
    </row>
    <row r="26" spans="2:18" x14ac:dyDescent="0.3">
      <c r="B26" s="27" t="s">
        <v>46</v>
      </c>
      <c r="C26" s="65"/>
      <c r="D26" s="66"/>
      <c r="E26" s="66"/>
      <c r="F26" s="66"/>
      <c r="G26" s="67"/>
      <c r="H26" s="27">
        <v>360</v>
      </c>
      <c r="I26" s="65"/>
      <c r="J26" s="66"/>
      <c r="K26" s="66"/>
      <c r="L26" s="67"/>
    </row>
    <row r="27" spans="2:18" x14ac:dyDescent="0.3">
      <c r="B27" s="27" t="s">
        <v>47</v>
      </c>
      <c r="C27" s="65"/>
      <c r="D27" s="66"/>
      <c r="E27" s="66"/>
      <c r="F27" s="66"/>
      <c r="G27" s="67"/>
      <c r="H27" s="27">
        <v>160</v>
      </c>
      <c r="I27" s="65"/>
      <c r="J27" s="66"/>
      <c r="K27" s="66"/>
      <c r="L27" s="67"/>
    </row>
    <row r="28" spans="2:18" x14ac:dyDescent="0.3">
      <c r="B28" s="27" t="s">
        <v>48</v>
      </c>
      <c r="C28" s="65"/>
      <c r="D28" s="66"/>
      <c r="E28" s="66"/>
      <c r="F28" s="66"/>
      <c r="G28" s="67"/>
      <c r="H28" s="27">
        <v>190</v>
      </c>
      <c r="I28" s="65"/>
      <c r="J28" s="66"/>
      <c r="K28" s="66"/>
      <c r="L28" s="67"/>
    </row>
    <row r="29" spans="2:18" x14ac:dyDescent="0.3">
      <c r="B29" s="27" t="s">
        <v>50</v>
      </c>
      <c r="C29" s="65"/>
      <c r="D29" s="66"/>
      <c r="E29" s="66"/>
      <c r="F29" s="66"/>
      <c r="G29" s="67"/>
      <c r="H29" s="34"/>
      <c r="I29" s="65"/>
      <c r="J29" s="66"/>
      <c r="K29" s="66"/>
      <c r="L29" s="67"/>
    </row>
    <row r="30" spans="2:18" x14ac:dyDescent="0.3">
      <c r="B30" s="27" t="s">
        <v>46</v>
      </c>
      <c r="C30" s="65"/>
      <c r="D30" s="66"/>
      <c r="E30" s="66"/>
      <c r="F30" s="66"/>
      <c r="G30" s="67"/>
      <c r="H30" s="27">
        <v>300</v>
      </c>
      <c r="I30" s="65"/>
      <c r="J30" s="66"/>
      <c r="K30" s="66"/>
      <c r="L30" s="67"/>
    </row>
    <row r="31" spans="2:18" x14ac:dyDescent="0.3">
      <c r="B31" s="27" t="s">
        <v>47</v>
      </c>
      <c r="C31" s="65"/>
      <c r="D31" s="66"/>
      <c r="E31" s="66"/>
      <c r="F31" s="66"/>
      <c r="G31" s="67"/>
      <c r="H31" s="27">
        <v>120</v>
      </c>
      <c r="I31" s="65"/>
      <c r="J31" s="66"/>
      <c r="K31" s="66"/>
      <c r="L31" s="67"/>
    </row>
    <row r="32" spans="2:18" x14ac:dyDescent="0.3">
      <c r="B32" s="27" t="s">
        <v>48</v>
      </c>
      <c r="C32" s="65"/>
      <c r="D32" s="66"/>
      <c r="E32" s="66"/>
      <c r="F32" s="66"/>
      <c r="G32" s="67"/>
      <c r="H32" s="27">
        <v>145</v>
      </c>
      <c r="I32" s="65"/>
      <c r="J32" s="66"/>
      <c r="K32" s="66"/>
      <c r="L32" s="67"/>
    </row>
    <row r="33" spans="2:12" x14ac:dyDescent="0.3">
      <c r="B33" s="27" t="s">
        <v>55</v>
      </c>
      <c r="C33" s="65"/>
      <c r="D33" s="66"/>
      <c r="E33" s="66"/>
      <c r="F33" s="66"/>
      <c r="G33" s="67"/>
      <c r="H33" s="27">
        <v>5</v>
      </c>
      <c r="I33" s="65"/>
      <c r="J33" s="66"/>
      <c r="K33" s="66"/>
      <c r="L33" s="67"/>
    </row>
    <row r="34" spans="2:12" x14ac:dyDescent="0.3">
      <c r="B34" s="27" t="s">
        <v>56</v>
      </c>
      <c r="C34" s="65"/>
      <c r="D34" s="66"/>
      <c r="E34" s="66"/>
      <c r="F34" s="66"/>
      <c r="G34" s="67"/>
      <c r="H34" s="27">
        <v>1</v>
      </c>
      <c r="I34" s="65"/>
      <c r="J34" s="66"/>
      <c r="K34" s="66"/>
      <c r="L34" s="67"/>
    </row>
    <row r="35" spans="2:12" x14ac:dyDescent="0.3">
      <c r="B35" s="27" t="s">
        <v>57</v>
      </c>
      <c r="C35" s="68"/>
      <c r="D35" s="69"/>
      <c r="E35" s="69"/>
      <c r="F35" s="69"/>
      <c r="G35" s="70"/>
      <c r="H35" s="27">
        <v>5.5</v>
      </c>
      <c r="I35" s="68"/>
      <c r="J35" s="69"/>
      <c r="K35" s="69"/>
      <c r="L35" s="70"/>
    </row>
  </sheetData>
  <mergeCells count="8">
    <mergeCell ref="C22:G35"/>
    <mergeCell ref="I22:L35"/>
    <mergeCell ref="B2:B3"/>
    <mergeCell ref="C2:L2"/>
    <mergeCell ref="C6:G8"/>
    <mergeCell ref="I6:L8"/>
    <mergeCell ref="I10:L19"/>
    <mergeCell ref="C10:G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9CA0-61AB-43D4-8653-7868584B930E}">
  <dimension ref="A1:K22"/>
  <sheetViews>
    <sheetView tabSelected="1" workbookViewId="0">
      <selection activeCell="G8" sqref="G8"/>
    </sheetView>
  </sheetViews>
  <sheetFormatPr defaultRowHeight="14.4" x14ac:dyDescent="0.3"/>
  <cols>
    <col min="1" max="1" width="45" customWidth="1"/>
  </cols>
  <sheetData>
    <row r="1" spans="1:11" x14ac:dyDescent="0.3">
      <c r="A1" s="73" t="s">
        <v>25</v>
      </c>
      <c r="B1" s="74" t="s">
        <v>26</v>
      </c>
      <c r="C1" s="74"/>
      <c r="D1" s="74"/>
      <c r="E1" s="74"/>
      <c r="F1" s="74"/>
      <c r="G1" s="74"/>
      <c r="H1" s="74"/>
      <c r="I1" s="74"/>
      <c r="J1" s="74"/>
      <c r="K1" s="74"/>
    </row>
    <row r="2" spans="1:11" x14ac:dyDescent="0.3">
      <c r="A2" s="73"/>
      <c r="B2" s="41">
        <v>1</v>
      </c>
      <c r="C2" s="41">
        <v>2</v>
      </c>
      <c r="D2" s="41">
        <v>3</v>
      </c>
      <c r="E2" s="41">
        <v>4</v>
      </c>
      <c r="F2" s="41">
        <v>5</v>
      </c>
      <c r="G2" s="41">
        <v>6</v>
      </c>
      <c r="H2" s="41">
        <v>7</v>
      </c>
      <c r="I2" s="41">
        <v>8</v>
      </c>
      <c r="J2" s="41">
        <v>9</v>
      </c>
      <c r="K2" s="41">
        <v>10</v>
      </c>
    </row>
    <row r="3" spans="1:11" ht="31.2" customHeight="1" x14ac:dyDescent="0.3">
      <c r="A3" s="43" t="s">
        <v>76</v>
      </c>
      <c r="G3" s="38">
        <v>800</v>
      </c>
    </row>
    <row r="4" spans="1:11" ht="24.6" customHeight="1" x14ac:dyDescent="0.3">
      <c r="A4" s="43" t="s">
        <v>77</v>
      </c>
      <c r="G4" s="38">
        <v>110</v>
      </c>
    </row>
    <row r="5" spans="1:11" x14ac:dyDescent="0.3">
      <c r="A5" s="37" t="s">
        <v>78</v>
      </c>
      <c r="G5" s="38">
        <v>104</v>
      </c>
    </row>
    <row r="6" spans="1:11" x14ac:dyDescent="0.3">
      <c r="A6" s="37" t="s">
        <v>79</v>
      </c>
      <c r="G6" s="38">
        <v>90</v>
      </c>
    </row>
    <row r="7" spans="1:11" x14ac:dyDescent="0.3">
      <c r="A7" s="42" t="s">
        <v>80</v>
      </c>
      <c r="B7" s="45"/>
      <c r="C7" s="45"/>
      <c r="D7" s="45"/>
      <c r="E7" s="45"/>
      <c r="F7" s="45"/>
      <c r="G7" s="45">
        <f>G5*G6/G3</f>
        <v>11.7</v>
      </c>
      <c r="H7" s="45"/>
      <c r="I7" s="45"/>
      <c r="J7" s="45"/>
      <c r="K7" s="45"/>
    </row>
    <row r="8" spans="1:11" x14ac:dyDescent="0.3">
      <c r="A8" s="42" t="s">
        <v>81</v>
      </c>
      <c r="B8" s="45"/>
      <c r="C8" s="45"/>
      <c r="D8" s="45"/>
      <c r="E8" s="45"/>
      <c r="F8" s="45"/>
      <c r="G8" s="45">
        <f>G5*G6/G4</f>
        <v>85.090909090909093</v>
      </c>
      <c r="H8" s="45"/>
      <c r="I8" s="45"/>
      <c r="J8" s="45"/>
      <c r="K8" s="45"/>
    </row>
    <row r="9" spans="1:11" x14ac:dyDescent="0.3">
      <c r="A9" s="44" t="s">
        <v>82</v>
      </c>
      <c r="B9" s="45"/>
      <c r="C9" s="45"/>
      <c r="D9" s="45"/>
      <c r="E9" s="45"/>
      <c r="F9" s="45"/>
      <c r="G9" s="45">
        <f>G8-G7</f>
        <v>73.390909090909091</v>
      </c>
      <c r="H9" s="45"/>
      <c r="I9" s="45"/>
      <c r="J9" s="45"/>
      <c r="K9" s="45"/>
    </row>
    <row r="11" spans="1:11" ht="15.6" x14ac:dyDescent="0.3">
      <c r="A11" s="39" t="s">
        <v>83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</row>
    <row r="12" spans="1:11" x14ac:dyDescent="0.3">
      <c r="A12" s="73" t="s">
        <v>25</v>
      </c>
      <c r="B12" s="74" t="s">
        <v>26</v>
      </c>
      <c r="C12" s="74"/>
      <c r="D12" s="74"/>
      <c r="E12" s="74"/>
      <c r="F12" s="74"/>
      <c r="G12" s="74"/>
      <c r="H12" s="74"/>
      <c r="I12" s="74"/>
      <c r="J12" s="74"/>
      <c r="K12" s="74"/>
    </row>
    <row r="13" spans="1:11" x14ac:dyDescent="0.3">
      <c r="A13" s="73"/>
      <c r="B13" s="41">
        <v>1</v>
      </c>
      <c r="C13" s="41">
        <v>2</v>
      </c>
      <c r="D13" s="41">
        <v>3</v>
      </c>
      <c r="E13" s="41">
        <v>4</v>
      </c>
      <c r="F13" s="41">
        <v>5</v>
      </c>
      <c r="G13" s="41">
        <v>6</v>
      </c>
      <c r="H13" s="41">
        <v>7</v>
      </c>
      <c r="I13" s="41">
        <v>8</v>
      </c>
      <c r="J13" s="41">
        <v>9</v>
      </c>
      <c r="K13" s="41">
        <v>10</v>
      </c>
    </row>
    <row r="14" spans="1:11" x14ac:dyDescent="0.3">
      <c r="A14" s="37" t="s">
        <v>84</v>
      </c>
      <c r="G14" s="38">
        <v>1035</v>
      </c>
    </row>
    <row r="15" spans="1:11" x14ac:dyDescent="0.3">
      <c r="A15" s="37" t="s">
        <v>85</v>
      </c>
      <c r="G15" s="38">
        <v>104</v>
      </c>
    </row>
    <row r="16" spans="1:11" x14ac:dyDescent="0.3">
      <c r="A16" s="37" t="s">
        <v>79</v>
      </c>
      <c r="G16" s="38">
        <v>180</v>
      </c>
    </row>
    <row r="17" spans="1:11" x14ac:dyDescent="0.3">
      <c r="A17" s="42" t="s">
        <v>86</v>
      </c>
      <c r="B17" s="45"/>
      <c r="C17" s="45"/>
      <c r="D17" s="45"/>
      <c r="E17" s="45"/>
      <c r="F17" s="45"/>
      <c r="G17" s="45">
        <f>G14/G15</f>
        <v>9.9519230769230766</v>
      </c>
      <c r="H17" s="45"/>
      <c r="I17" s="45"/>
      <c r="J17" s="45"/>
      <c r="K17" s="45"/>
    </row>
    <row r="18" spans="1:11" x14ac:dyDescent="0.3">
      <c r="A18" s="47" t="s">
        <v>87</v>
      </c>
      <c r="B18" s="46">
        <v>12</v>
      </c>
      <c r="C18" s="46">
        <v>5</v>
      </c>
      <c r="D18" s="46">
        <v>8</v>
      </c>
      <c r="E18" s="46">
        <v>9</v>
      </c>
      <c r="F18" s="46">
        <v>12</v>
      </c>
      <c r="G18" s="46">
        <v>13</v>
      </c>
      <c r="H18" s="46">
        <v>10.5</v>
      </c>
      <c r="I18" s="46">
        <v>8.5</v>
      </c>
      <c r="J18" s="46">
        <v>9</v>
      </c>
      <c r="K18" s="46">
        <v>10.5</v>
      </c>
    </row>
    <row r="19" spans="1:11" x14ac:dyDescent="0.3">
      <c r="A19" s="42" t="s">
        <v>88</v>
      </c>
      <c r="B19" s="45"/>
      <c r="C19" s="45"/>
      <c r="D19" s="45"/>
      <c r="E19" s="45"/>
      <c r="F19" s="45"/>
      <c r="G19" s="45">
        <f>G16/G17</f>
        <v>18.086956521739133</v>
      </c>
      <c r="H19" s="45"/>
      <c r="I19" s="45"/>
      <c r="J19" s="45"/>
      <c r="K19" s="45"/>
    </row>
    <row r="20" spans="1:11" x14ac:dyDescent="0.3">
      <c r="A20" s="42" t="s">
        <v>89</v>
      </c>
      <c r="B20" s="45"/>
      <c r="C20" s="45"/>
      <c r="D20" s="45"/>
      <c r="E20" s="45"/>
      <c r="F20" s="45"/>
      <c r="G20" s="45">
        <f>G16/G18</f>
        <v>13.846153846153847</v>
      </c>
      <c r="H20" s="45"/>
      <c r="I20" s="45"/>
      <c r="J20" s="45"/>
      <c r="K20" s="45"/>
    </row>
    <row r="21" spans="1:11" x14ac:dyDescent="0.3">
      <c r="A21" s="44" t="s">
        <v>90</v>
      </c>
      <c r="B21" s="45"/>
      <c r="C21" s="45"/>
      <c r="D21" s="45"/>
      <c r="E21" s="45"/>
      <c r="F21" s="45"/>
      <c r="G21" s="45">
        <f>G14/G18</f>
        <v>79.615384615384613</v>
      </c>
      <c r="H21" s="45"/>
      <c r="I21" s="45"/>
      <c r="J21" s="45"/>
      <c r="K21" s="45"/>
    </row>
    <row r="22" spans="1:11" x14ac:dyDescent="0.3">
      <c r="A22" s="44" t="s">
        <v>91</v>
      </c>
      <c r="B22" s="45"/>
      <c r="C22" s="45"/>
      <c r="D22" s="45"/>
      <c r="E22" s="45"/>
      <c r="F22" s="45"/>
      <c r="G22" s="45">
        <f>G21-G15</f>
        <v>-24.384615384615387</v>
      </c>
      <c r="H22" s="45"/>
      <c r="I22" s="45"/>
      <c r="J22" s="45"/>
      <c r="K22" s="45"/>
    </row>
  </sheetData>
  <mergeCells count="4">
    <mergeCell ref="A1:A2"/>
    <mergeCell ref="B1:K1"/>
    <mergeCell ref="A12:A13"/>
    <mergeCell ref="B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ex1</vt:lpstr>
      <vt:lpstr>ex2</vt:lpstr>
      <vt:lpstr>ex3</vt:lpstr>
      <vt:lpstr>ex4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Luzetskiy</dc:creator>
  <cp:lastModifiedBy>Vlad Luzetskiy</cp:lastModifiedBy>
  <dcterms:created xsi:type="dcterms:W3CDTF">2015-06-05T18:17:20Z</dcterms:created>
  <dcterms:modified xsi:type="dcterms:W3CDTF">2026-03-05T06:19:25Z</dcterms:modified>
</cp:coreProperties>
</file>