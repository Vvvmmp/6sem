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bi\6sem\Экономика\lab2\"/>
    </mc:Choice>
  </mc:AlternateContent>
  <xr:revisionPtr revIDLastSave="0" documentId="13_ncr:1_{34652BAC-657E-4430-8414-DDF0972185A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Задание исх данные, решение 1" sheetId="1" r:id="rId1"/>
    <sheet name="Порядок работы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9" i="1" l="1"/>
  <c r="B101" i="1"/>
  <c r="F88" i="1"/>
  <c r="B100" i="1"/>
  <c r="G60" i="1"/>
  <c r="F60" i="1"/>
  <c r="E60" i="1"/>
  <c r="E14" i="1"/>
  <c r="B52" i="1"/>
  <c r="D60" i="1"/>
  <c r="C61" i="1"/>
  <c r="B96" i="1"/>
  <c r="E89" i="1"/>
  <c r="E90" i="1"/>
  <c r="E88" i="1"/>
  <c r="E91" i="1" s="1"/>
  <c r="D91" i="1"/>
  <c r="D89" i="1"/>
  <c r="D90" i="1"/>
  <c r="D88" i="1"/>
  <c r="C89" i="1"/>
  <c r="C90" i="1"/>
  <c r="C88" i="1"/>
  <c r="B91" i="1"/>
  <c r="B90" i="1"/>
  <c r="B89" i="1"/>
  <c r="B88" i="1"/>
  <c r="D71" i="1"/>
  <c r="C71" i="1"/>
  <c r="D70" i="1"/>
  <c r="C70" i="1"/>
  <c r="D66" i="1"/>
  <c r="C66" i="1"/>
  <c r="D62" i="1"/>
  <c r="C62" i="1"/>
  <c r="D61" i="1"/>
  <c r="D64" i="1"/>
  <c r="D65" i="1"/>
  <c r="D68" i="1"/>
  <c r="D69" i="1"/>
  <c r="C69" i="1"/>
  <c r="C68" i="1"/>
  <c r="C65" i="1"/>
  <c r="C64" i="1"/>
  <c r="C60" i="1"/>
  <c r="B69" i="1"/>
  <c r="B68" i="1"/>
  <c r="B65" i="1"/>
  <c r="B64" i="1"/>
  <c r="B61" i="1"/>
  <c r="B60" i="1"/>
  <c r="B14" i="1"/>
  <c r="B9" i="1"/>
  <c r="B8" i="1"/>
  <c r="E61" i="1" l="1"/>
  <c r="E64" i="1"/>
  <c r="E66" i="1" s="1"/>
  <c r="E65" i="1"/>
  <c r="E68" i="1"/>
  <c r="E69" i="1"/>
  <c r="G88" i="1"/>
  <c r="B95" i="1" s="1"/>
  <c r="B97" i="1" s="1"/>
  <c r="B98" i="1" s="1"/>
  <c r="D81" i="1"/>
  <c r="C81" i="1"/>
  <c r="F90" i="1"/>
  <c r="G90" i="1" s="1"/>
  <c r="B81" i="1"/>
  <c r="B15" i="1"/>
  <c r="B17" i="1" s="1"/>
  <c r="B18" i="1" s="1"/>
  <c r="F89" i="1"/>
  <c r="G89" i="1" s="1"/>
  <c r="G91" i="1" l="1"/>
  <c r="E62" i="1"/>
  <c r="E70" i="1"/>
  <c r="F91" i="1"/>
  <c r="C52" i="1"/>
  <c r="F69" i="1"/>
  <c r="D52" i="1"/>
  <c r="E52" i="1"/>
  <c r="G52" i="1"/>
  <c r="F52" i="1"/>
  <c r="H52" i="1"/>
  <c r="I52" i="1"/>
  <c r="F61" i="1"/>
  <c r="F64" i="1"/>
  <c r="F65" i="1"/>
  <c r="G65" i="1" s="1"/>
  <c r="F68" i="1"/>
  <c r="F66" i="1" l="1"/>
  <c r="G64" i="1"/>
  <c r="G66" i="1" s="1"/>
  <c r="C76" i="1" s="1"/>
  <c r="G68" i="1"/>
  <c r="F70" i="1"/>
  <c r="F62" i="1"/>
  <c r="F71" i="1" s="1"/>
  <c r="G69" i="1"/>
  <c r="E71" i="1"/>
  <c r="G61" i="1"/>
  <c r="G70" i="1" l="1"/>
  <c r="D76" i="1" s="1"/>
  <c r="G62" i="1"/>
  <c r="C77" i="1"/>
  <c r="C80" i="1" s="1"/>
  <c r="C82" i="1" s="1"/>
  <c r="C83" i="1" s="1"/>
  <c r="C79" i="1"/>
  <c r="C78" i="1"/>
  <c r="D78" i="1" l="1"/>
  <c r="D79" i="1"/>
  <c r="D77" i="1"/>
  <c r="D80" i="1"/>
  <c r="D82" i="1" s="1"/>
  <c r="D83" i="1" s="1"/>
  <c r="G71" i="1"/>
  <c r="B76" i="1"/>
  <c r="B78" i="1" l="1"/>
  <c r="B80" i="1" s="1"/>
  <c r="B82" i="1" s="1"/>
  <c r="B83" i="1" s="1"/>
  <c r="B79" i="1"/>
  <c r="B77" i="1"/>
</calcChain>
</file>

<file path=xl/sharedStrings.xml><?xml version="1.0" encoding="utf-8"?>
<sst xmlns="http://schemas.openxmlformats.org/spreadsheetml/2006/main" count="131" uniqueCount="113">
  <si>
    <t>Показатель</t>
  </si>
  <si>
    <t>Значение</t>
  </si>
  <si>
    <t>1. Календарный фонд рабочего времени, дней</t>
  </si>
  <si>
    <t>2. Выходные и праздничные дни</t>
  </si>
  <si>
    <t xml:space="preserve">3. Номинальный фонд рабочего времени, дней (п.1-п.2) </t>
  </si>
  <si>
    <t>− основные, дополнительные и учебные отпуска</t>
  </si>
  <si>
    <t>− отпуск по беременности и родам</t>
  </si>
  <si>
    <t xml:space="preserve">− невыходы по болезни </t>
  </si>
  <si>
    <t>− выполнение государственных и общественных обязанностей</t>
  </si>
  <si>
    <t>8. Эффективный фонд рабочего времени, ч (п.6-п.7)</t>
  </si>
  <si>
    <t>Таблица 1. Баланс рабочего времени одного среднесписочного рабочего</t>
  </si>
  <si>
    <t>Разряд</t>
  </si>
  <si>
    <t>Часовая тарифная ставка, руб.</t>
  </si>
  <si>
    <t>Тарифный коэффициент</t>
  </si>
  <si>
    <t>Наименование профессии рабочих</t>
  </si>
  <si>
    <t>Расчет численности рабочих</t>
  </si>
  <si>
    <t>Расчет тарифного фонда оплаты труда</t>
  </si>
  <si>
    <t>Тарифный разряд</t>
  </si>
  <si>
    <t>Списочное число, чел</t>
  </si>
  <si>
    <t>Тарифный фонд оплаты труда, руб.</t>
  </si>
  <si>
    <t>В смену</t>
  </si>
  <si>
    <t>В сутки</t>
  </si>
  <si>
    <t>1.Основные производственные рабочие:</t>
  </si>
  <si>
    <t>1.2 Упаковщик</t>
  </si>
  <si>
    <t>Итого:</t>
  </si>
  <si>
    <t>2.Вспомогательные рабочие:</t>
  </si>
  <si>
    <t>3. Прочие:</t>
  </si>
  <si>
    <t>Всего:</t>
  </si>
  <si>
    <t>Годовой фонд оплаты труда, руб.</t>
  </si>
  <si>
    <t>Вспомогательных рабочих</t>
  </si>
  <si>
    <t>Прочих</t>
  </si>
  <si>
    <t>Количество человек</t>
  </si>
  <si>
    <t>Итого</t>
  </si>
  <si>
    <t>Начальник подразделения</t>
  </si>
  <si>
    <t>Инженер по автоматизации</t>
  </si>
  <si>
    <t>Экономист</t>
  </si>
  <si>
    <r>
      <t>1.</t>
    </r>
    <r>
      <rPr>
        <sz val="11"/>
        <color theme="1"/>
        <rFont val="Calibri"/>
        <family val="2"/>
        <charset val="204"/>
        <scheme val="minor"/>
      </rPr>
      <t>1 Оператор</t>
    </r>
    <r>
      <rPr>
        <sz val="11"/>
        <color rgb="FF000000"/>
        <rFont val="Calibri"/>
        <family val="2"/>
        <charset val="204"/>
        <scheme val="minor"/>
      </rPr>
      <t xml:space="preserve"> </t>
    </r>
  </si>
  <si>
    <t>4. Планируемые невыходы на работу (итого), дней:</t>
  </si>
  <si>
    <t>6. Число рабочих часов в году (п.5×продолжительность рабочей смены 8 ч)</t>
  </si>
  <si>
    <t>Таблица 3. Часовая тарифная ставка в зависимости от тарифного коэффициента соответствующего разряда</t>
  </si>
  <si>
    <t>Таблица 4. Расчет численности и тарифного фонда оплаты труда рабочих</t>
  </si>
  <si>
    <t>Тарифная ставка в месяц 1 разряда, руб.</t>
  </si>
  <si>
    <t>Таблица 2. Исходные данные</t>
  </si>
  <si>
    <t>Число смен</t>
  </si>
  <si>
    <r>
      <t>2.1. Э</t>
    </r>
    <r>
      <rPr>
        <sz val="11"/>
        <color rgb="FF000000"/>
        <rFont val="Calibri"/>
        <family val="2"/>
        <charset val="204"/>
        <scheme val="minor"/>
      </rPr>
      <t>лектрик</t>
    </r>
  </si>
  <si>
    <t>2.2. Наладчик оборудования</t>
  </si>
  <si>
    <t xml:space="preserve">3.1. Грузчик </t>
  </si>
  <si>
    <r>
      <t xml:space="preserve">3.2. </t>
    </r>
    <r>
      <rPr>
        <sz val="11"/>
        <color rgb="FF000000"/>
        <rFont val="Calibri"/>
        <family val="2"/>
        <charset val="204"/>
        <scheme val="minor"/>
      </rPr>
      <t>Уборщик помещений</t>
    </r>
  </si>
  <si>
    <t>Всего</t>
  </si>
  <si>
    <t>Явочное число рабочих в смену:</t>
  </si>
  <si>
    <t>Упаковщик</t>
  </si>
  <si>
    <t>Наладчик оборудования</t>
  </si>
  <si>
    <t xml:space="preserve">Грузчик </t>
  </si>
  <si>
    <t>Уборщик помещений</t>
  </si>
  <si>
    <r>
      <rPr>
        <sz val="12"/>
        <color theme="1"/>
        <rFont val="Calibri"/>
        <family val="2"/>
        <charset val="204"/>
        <scheme val="minor"/>
      </rPr>
      <t>Оператор</t>
    </r>
    <r>
      <rPr>
        <sz val="12"/>
        <color rgb="FF000000"/>
        <rFont val="Calibri"/>
        <family val="2"/>
        <charset val="204"/>
        <scheme val="minor"/>
      </rPr>
      <t xml:space="preserve"> </t>
    </r>
  </si>
  <si>
    <r>
      <t>Э</t>
    </r>
    <r>
      <rPr>
        <sz val="12"/>
        <color rgb="FF000000"/>
        <rFont val="Calibri"/>
        <family val="2"/>
        <charset val="204"/>
        <scheme val="minor"/>
      </rPr>
      <t>лектрик</t>
    </r>
  </si>
  <si>
    <t>Тарифные разряды:</t>
  </si>
  <si>
    <t>Эффективный фонд рабочего времени всех рабочих, ч</t>
  </si>
  <si>
    <t>Размер премии, %</t>
  </si>
  <si>
    <t>Основных рабочих</t>
  </si>
  <si>
    <t>Элементы фонда оплаты труда, руб.</t>
  </si>
  <si>
    <t>Таблица 5. Расчет годового фонда заработной платы рабочих</t>
  </si>
  <si>
    <t>Таблица 6. Расчет фонда оплаты труда руководителей, специалистов и технических исполнителей</t>
  </si>
  <si>
    <t>Основная з/п</t>
  </si>
  <si>
    <t>Месячный должностной оклад, руб.</t>
  </si>
  <si>
    <t>Наименование должности</t>
  </si>
  <si>
    <t>Число руководителей, специалистов:</t>
  </si>
  <si>
    <t xml:space="preserve">Начальник подразделения </t>
  </si>
  <si>
    <t>Явочная численность, чел.</t>
  </si>
  <si>
    <t xml:space="preserve">Таблица 7. Итоговые показатели </t>
  </si>
  <si>
    <t xml:space="preserve">Показатели </t>
  </si>
  <si>
    <t>Годовой объем произведенной продукции, работ, услуг, тыс. руб.</t>
  </si>
  <si>
    <t>Годовой фонд оплаты труда всех работающих, руб.</t>
  </si>
  <si>
    <t>Численность списочная персонала, чел.</t>
  </si>
  <si>
    <t>Среднегодовая заработная плата, руб.</t>
  </si>
  <si>
    <t>Среднемесячная заработная плата, руб.</t>
  </si>
  <si>
    <t>Производительность труда 1-го работающего, тыс. руб./год</t>
  </si>
  <si>
    <t>Производительность труда 1-го работающего, тыс. руб./час</t>
  </si>
  <si>
    <t>Расчет фонда оплаты труда работников подразделения и показателей эффективности трудовых ресурсов</t>
  </si>
  <si>
    <t>7. Планируемые потери времени, ч</t>
  </si>
  <si>
    <t>Методические указания</t>
  </si>
  <si>
    <t>Ячейки,выделенные цветом, предназначены для заполнения!</t>
  </si>
  <si>
    <t>1. Для расчета необходимой численности рабочих и фонда их заработной платы необходимо составить баланс рабочего времени одного среднесписочного рабочего. Рассчитывается эффективный фонд среднесписочного рабочего (определяются показатели таблицы 1 в соотвествии с указаниями в первом столбце)</t>
  </si>
  <si>
    <t>9. Эффективный фонд рабочего времени в среднем за месяц, ч (п.8/12)</t>
  </si>
  <si>
    <t xml:space="preserve">2. Планирование фонда заработной платы выполняется в зависимости от категории работающих. Часовая тарифная ставка i-го разряда определяется произведением тарифной ставки 1 разряда на тарифный коэффициент (таблица 3). Часовая тарифная ставка 1 разряда расчитывается делением тарифной ставки 1 разряда за месяц на количество рабочих часов за месяц (см. таблицу 1) </t>
  </si>
  <si>
    <t>3. Явочный состав определяется путем умножения явочного числа рабочих в смену на количество смен</t>
  </si>
  <si>
    <t>4. Списочный состав определяется путем умножения явочного числа рабочих на переводной коэффициент, который рассчитывается по формуле (данные взять из таблицы 1)</t>
  </si>
  <si>
    <t>5. Тарифный фонд оплаты труда рассчитывается произведением эффективного фонда времени (ч) списочного сотава рабочих на часовую тарифную ставку соответствующего разряда</t>
  </si>
  <si>
    <t>6. При планировании фонда заработной платы производственных рабочих выделяют основную и дополнительную заработную плату. К основной заработной плате относится тарифный фонд заработной платы, премии по действующим премиальным положениям и доплаты за вредность, работу в ночное и вечернее время, за бригадирство и обучение учеников.
К дополнительной заработной плате относятся различные выплаты работникам за невыполненную работу в соответствии с действующим законодательством (подросткам и кормящим матерям за сокращенный рабочий день; оплата очередных и дополнительных отпусков; оплата невыходов в связи с выполнением государственных и общественных обязанностей).</t>
  </si>
  <si>
    <t>1. Тарифный фонд оплаты труда</t>
  </si>
  <si>
    <t xml:space="preserve">2. Премии </t>
  </si>
  <si>
    <t>3. Доплаты за работу в вечернее время (20%)</t>
  </si>
  <si>
    <t>4. Доплаты за работу в ночное время (40%)</t>
  </si>
  <si>
    <t>6. Дополнительная зарплата, ставка в %</t>
  </si>
  <si>
    <t>7. Дополнительная зарплата, руб.</t>
  </si>
  <si>
    <t>5. Итого основная заработная плата (п.1+п.2+п.3+п.4)</t>
  </si>
  <si>
    <t>Всего (п.5+п.7)</t>
  </si>
  <si>
    <t>Доплаты за вечернее время = Годовой тарифный фонд / 3 * 20/100</t>
  </si>
  <si>
    <r>
      <t>Процент дополнительной заработной платы (α) может быть определен укрупненно на основании баланса рабочего времени одного среднесписочного рабочего путем деления количества дней планируемых невыходов на работу за исключением невыходов по болезни и декретным отпускам (Т</t>
    </r>
    <r>
      <rPr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sz val="12"/>
        <color rgb="FF000000"/>
        <rFont val="Calibri"/>
        <family val="2"/>
        <charset val="204"/>
        <scheme val="minor"/>
      </rPr>
      <t>) на число рабочих дней в году (Т</t>
    </r>
    <r>
      <rPr>
        <vertAlign val="subscript"/>
        <sz val="12"/>
        <color rgb="FF000000"/>
        <rFont val="Calibri"/>
        <family val="2"/>
        <charset val="204"/>
        <scheme val="minor"/>
      </rPr>
      <t>раб</t>
    </r>
    <r>
      <rPr>
        <sz val="12"/>
        <color rgb="FF000000"/>
        <rFont val="Calibri"/>
        <family val="2"/>
        <charset val="204"/>
        <scheme val="minor"/>
      </rPr>
      <t>) и умножением на 100%.</t>
    </r>
  </si>
  <si>
    <t>7. Премии определяются на основе действующих премиальных положений предприятия (см. исходные данные).
Ночным временем в трудовом праве считается время с 22.00 до 6.00. Предприятие самостоятельно в коллективном договоре определяет сумму доплат за работу в вечернее и ночное время, исходя из своих финансовых возможностей. Но эта доплата должна быть не ниже соответственно 20 и 40% часовой тарифной ставки работника за каждый час работы в вечернее и ночное время (режим работы см. в исходных данных). Укрупненный расчет проводится по формулам</t>
  </si>
  <si>
    <t>Доп. з/п (см. п.6 табл. 5)</t>
  </si>
  <si>
    <t>Премии (см. исх. данные)</t>
  </si>
  <si>
    <r>
      <t>ЗП</t>
    </r>
    <r>
      <rPr>
        <b/>
        <vertAlign val="subscript"/>
        <sz val="12"/>
        <color theme="1"/>
        <rFont val="Calibri"/>
        <family val="2"/>
        <charset val="204"/>
        <scheme val="minor"/>
      </rPr>
      <t>ср</t>
    </r>
    <r>
      <rPr>
        <b/>
        <sz val="12"/>
        <color theme="1"/>
        <rFont val="Calibri"/>
        <family val="2"/>
        <charset val="204"/>
        <scheme val="minor"/>
      </rPr>
      <t xml:space="preserve"> = ∑ФОТ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</si>
  <si>
    <r>
      <t>ПТ = ТП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  <r>
      <rPr>
        <b/>
        <sz val="12"/>
        <color theme="1"/>
        <rFont val="Calibri"/>
        <family val="2"/>
        <charset val="204"/>
        <scheme val="minor"/>
      </rPr>
      <t xml:space="preserve"> </t>
    </r>
  </si>
  <si>
    <r>
      <t>где ∑ФОТ – годовой плановый фонд заработной платы работающих, руб.; Ч</t>
    </r>
    <r>
      <rPr>
        <vertAlign val="subscript"/>
        <sz val="12"/>
        <color theme="1"/>
        <rFont val="Calibri"/>
        <family val="2"/>
        <charset val="204"/>
        <scheme val="minor"/>
      </rPr>
      <t>сп</t>
    </r>
    <r>
      <rPr>
        <sz val="12"/>
        <color theme="1"/>
        <rFont val="Calibri"/>
        <family val="2"/>
        <charset val="204"/>
        <scheme val="minor"/>
      </rPr>
      <t xml:space="preserve"> – среднесписочная численность работающих, чел.</t>
    </r>
  </si>
  <si>
    <t>8. Численность руководителей, специалистов берется из штатных расписаний цехов (таблица 6). 
Планирование фонда заработной платы руководителей, специалистов и технических исполнителей производится на основании численности данных категорий работников, установленных им должностных окладов и персональных надбавок, действующих премиальных положений. При расчете годового фонда оплаты труда необходимо учесть численность персонала, месячный оклад и количество месяцев в году</t>
  </si>
  <si>
    <t>9. Результаты расчета численности и фонда заработной платы работающих представляются в таблице 7. Кроме расчетов численности и фонда оплаты труда, в плане по труду производится расчет средней заработной платы и производительности труда:</t>
  </si>
  <si>
    <t>Ксп=Тном / Tэф</t>
  </si>
  <si>
    <r>
      <t>α =(Т</t>
    </r>
    <r>
      <rPr>
        <b/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b/>
        <sz val="12"/>
        <color rgb="FF000000"/>
        <rFont val="Calibri"/>
        <family val="2"/>
        <charset val="204"/>
        <scheme val="minor"/>
      </rPr>
      <t>/Тэф</t>
    </r>
    <r>
      <rPr>
        <b/>
        <sz val="12"/>
        <color rgb="FF000000"/>
        <rFont val="Calibri"/>
        <family val="2"/>
        <charset val="204"/>
        <scheme val="minor"/>
      </rPr>
      <t>)·100%</t>
    </r>
  </si>
  <si>
    <t>Производительность труда 1-го работающего, тыс. руб./смену</t>
  </si>
  <si>
    <t>5. Эффективный фонд времени в днях (п.3-п.4)</t>
  </si>
  <si>
    <t>Доплаты за вночное время = Годовой тарифный фонд / 3 * 40/100</t>
  </si>
  <si>
    <t>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</si>
</sst>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vertAlign val="subscript"/>
      <sz val="12"/>
      <color rgb="FF000000"/>
      <name val="Calibri"/>
      <family val="2"/>
      <charset val="204"/>
      <scheme val="minor"/>
    </font>
    <font>
      <vertAlign val="subscript"/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vertAlign val="subscript"/>
      <sz val="12"/>
      <color rgb="FF000000"/>
      <name val="Calibri"/>
      <family val="2"/>
      <charset val="204"/>
      <scheme val="minor"/>
    </font>
    <font>
      <b/>
      <vertAlign val="subscript"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0" fillId="0" borderId="0" xfId="0" applyFont="1"/>
    <xf numFmtId="0" fontId="4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" fontId="5" fillId="0" borderId="0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" fontId="5" fillId="3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1" fontId="5" fillId="3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0" fillId="0" borderId="1" xfId="0" applyFont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justify" vertical="center" wrapText="1"/>
    </xf>
    <xf numFmtId="0" fontId="0" fillId="0" borderId="0" xfId="0" applyFont="1" applyFill="1" applyBorder="1"/>
    <xf numFmtId="1" fontId="0" fillId="0" borderId="1" xfId="0" applyNumberFormat="1" applyFont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textRotation="90" wrapText="1"/>
    </xf>
    <xf numFmtId="2" fontId="9" fillId="0" borderId="8" xfId="0" applyNumberFormat="1" applyFont="1" applyBorder="1" applyAlignment="1">
      <alignment horizontal="center" vertical="center" wrapText="1"/>
    </xf>
    <xf numFmtId="0" fontId="5" fillId="3" borderId="8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2" borderId="0" xfId="0" applyFont="1" applyFill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5" fillId="4" borderId="0" xfId="0" applyFont="1" applyFill="1" applyAlignment="1">
      <alignment horizontal="justify" vertical="center"/>
    </xf>
    <xf numFmtId="0" fontId="5" fillId="2" borderId="0" xfId="0" applyFont="1" applyFill="1" applyAlignment="1">
      <alignment horizontal="justify" vertical="center"/>
    </xf>
    <xf numFmtId="0" fontId="1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justify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justify" vertical="center" wrapText="1"/>
    </xf>
    <xf numFmtId="0" fontId="9" fillId="0" borderId="0" xfId="0" applyFont="1" applyAlignment="1">
      <alignment horizontal="justify" vertical="center"/>
    </xf>
    <xf numFmtId="0" fontId="9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94" zoomScale="90" workbookViewId="0">
      <selection activeCell="B99" sqref="B99"/>
    </sheetView>
  </sheetViews>
  <sheetFormatPr defaultColWidth="8.77734375" defaultRowHeight="14.4" x14ac:dyDescent="0.3"/>
  <cols>
    <col min="1" max="1" width="59.5546875" style="2" customWidth="1"/>
    <col min="2" max="2" width="13.6640625" style="2" customWidth="1"/>
    <col min="3" max="3" width="11" style="2" customWidth="1"/>
    <col min="4" max="4" width="10.6640625" style="2" customWidth="1"/>
    <col min="5" max="5" width="12.44140625" style="2" bestFit="1" customWidth="1"/>
    <col min="6" max="6" width="14" style="2" customWidth="1"/>
    <col min="7" max="7" width="11.33203125" style="2" customWidth="1"/>
    <col min="8" max="8" width="9.6640625" style="2" customWidth="1"/>
    <col min="9" max="9" width="10.21875" style="2" customWidth="1"/>
    <col min="10" max="16384" width="8.77734375" style="2"/>
  </cols>
  <sheetData>
    <row r="1" spans="1:11" ht="18" x14ac:dyDescent="0.35">
      <c r="A1" s="1" t="s">
        <v>78</v>
      </c>
    </row>
    <row r="3" spans="1:11" ht="15.6" x14ac:dyDescent="0.3">
      <c r="A3" s="79" t="s">
        <v>10</v>
      </c>
      <c r="B3" s="79"/>
      <c r="C3"/>
      <c r="D3"/>
      <c r="E3"/>
      <c r="F3"/>
      <c r="G3"/>
      <c r="H3"/>
      <c r="I3"/>
      <c r="J3"/>
      <c r="K3"/>
    </row>
    <row r="4" spans="1:11" ht="15" customHeight="1" x14ac:dyDescent="0.3">
      <c r="A4" s="78" t="s">
        <v>0</v>
      </c>
      <c r="B4" s="17" t="s">
        <v>1</v>
      </c>
      <c r="C4"/>
      <c r="D4"/>
      <c r="E4"/>
      <c r="F4"/>
      <c r="G4"/>
      <c r="H4"/>
      <c r="I4"/>
      <c r="J4"/>
      <c r="K4"/>
    </row>
    <row r="5" spans="1:11" ht="15.6" x14ac:dyDescent="0.3">
      <c r="A5" s="78"/>
      <c r="B5" s="62">
        <v>6</v>
      </c>
      <c r="C5"/>
      <c r="D5"/>
      <c r="E5"/>
      <c r="F5"/>
      <c r="G5"/>
      <c r="H5"/>
      <c r="I5"/>
      <c r="J5"/>
      <c r="K5"/>
    </row>
    <row r="6" spans="1:11" ht="18.75" customHeight="1" x14ac:dyDescent="0.3">
      <c r="A6" s="4" t="s">
        <v>2</v>
      </c>
      <c r="B6" s="9">
        <v>365</v>
      </c>
      <c r="C6"/>
      <c r="D6"/>
      <c r="E6"/>
      <c r="F6"/>
      <c r="G6"/>
      <c r="H6"/>
      <c r="I6"/>
      <c r="J6"/>
      <c r="K6"/>
    </row>
    <row r="7" spans="1:11" ht="17.7" customHeight="1" x14ac:dyDescent="0.3">
      <c r="A7" s="4" t="s">
        <v>3</v>
      </c>
      <c r="B7" s="9">
        <v>108</v>
      </c>
      <c r="C7"/>
      <c r="D7"/>
      <c r="E7"/>
      <c r="F7"/>
      <c r="G7"/>
      <c r="H7"/>
      <c r="I7"/>
      <c r="J7"/>
      <c r="K7"/>
    </row>
    <row r="8" spans="1:11" ht="14.55" customHeight="1" x14ac:dyDescent="0.3">
      <c r="A8" s="4" t="s">
        <v>4</v>
      </c>
      <c r="B8" s="10">
        <f>B6-B7</f>
        <v>257</v>
      </c>
      <c r="C8"/>
      <c r="D8"/>
      <c r="E8"/>
      <c r="F8"/>
      <c r="G8"/>
      <c r="H8"/>
      <c r="I8"/>
      <c r="J8"/>
      <c r="K8"/>
    </row>
    <row r="9" spans="1:11" ht="15" customHeight="1" x14ac:dyDescent="0.3">
      <c r="A9" s="4" t="s">
        <v>37</v>
      </c>
      <c r="B9" s="10">
        <f>B11+B13+B12+B10</f>
        <v>31</v>
      </c>
      <c r="C9"/>
      <c r="D9"/>
      <c r="E9"/>
      <c r="F9"/>
      <c r="G9"/>
      <c r="H9"/>
      <c r="I9"/>
      <c r="J9"/>
      <c r="K9"/>
    </row>
    <row r="10" spans="1:11" ht="16.649999999999999" customHeight="1" x14ac:dyDescent="0.3">
      <c r="A10" s="23" t="s">
        <v>5</v>
      </c>
      <c r="B10" s="11">
        <v>28</v>
      </c>
      <c r="C10"/>
      <c r="D10"/>
      <c r="E10"/>
      <c r="F10"/>
      <c r="G10"/>
      <c r="H10"/>
      <c r="I10"/>
      <c r="J10"/>
      <c r="K10"/>
    </row>
    <row r="11" spans="1:11" ht="19.95" customHeight="1" x14ac:dyDescent="0.3">
      <c r="A11" s="23" t="s">
        <v>6</v>
      </c>
      <c r="B11" s="11">
        <v>2</v>
      </c>
      <c r="C11"/>
      <c r="D11"/>
      <c r="E11"/>
      <c r="F11"/>
      <c r="G11"/>
      <c r="H11"/>
      <c r="I11"/>
      <c r="J11"/>
      <c r="K11"/>
    </row>
    <row r="12" spans="1:11" ht="14.55" customHeight="1" x14ac:dyDescent="0.3">
      <c r="A12" s="23" t="s">
        <v>7</v>
      </c>
      <c r="B12" s="11">
        <v>1</v>
      </c>
      <c r="C12"/>
      <c r="D12"/>
      <c r="E12"/>
      <c r="F12"/>
      <c r="G12"/>
      <c r="H12"/>
      <c r="I12"/>
      <c r="J12"/>
      <c r="K12"/>
    </row>
    <row r="13" spans="1:11" ht="32.25" customHeight="1" x14ac:dyDescent="0.3">
      <c r="A13" s="23" t="s">
        <v>8</v>
      </c>
      <c r="B13" s="9">
        <v>0</v>
      </c>
      <c r="C13"/>
      <c r="D13"/>
      <c r="E13"/>
      <c r="F13"/>
      <c r="G13"/>
      <c r="H13"/>
      <c r="I13"/>
      <c r="J13"/>
      <c r="K13"/>
    </row>
    <row r="14" spans="1:11" ht="17.25" customHeight="1" x14ac:dyDescent="0.3">
      <c r="A14" s="4" t="s">
        <v>110</v>
      </c>
      <c r="B14" s="10">
        <f>B8-B9</f>
        <v>226</v>
      </c>
      <c r="C14"/>
      <c r="D14" t="s">
        <v>112</v>
      </c>
      <c r="E14">
        <f>B8/B14</f>
        <v>1.1371681415929205</v>
      </c>
      <c r="F14"/>
      <c r="G14"/>
      <c r="H14"/>
      <c r="I14"/>
      <c r="J14"/>
      <c r="K14"/>
    </row>
    <row r="15" spans="1:11" ht="29.55" customHeight="1" x14ac:dyDescent="0.3">
      <c r="A15" s="4" t="s">
        <v>38</v>
      </c>
      <c r="B15" s="10">
        <f>B14*8</f>
        <v>1808</v>
      </c>
      <c r="C15"/>
      <c r="D15"/>
      <c r="E15"/>
      <c r="F15"/>
      <c r="G15"/>
      <c r="H15"/>
      <c r="I15"/>
      <c r="J15"/>
      <c r="K15"/>
    </row>
    <row r="16" spans="1:11" ht="15.6" x14ac:dyDescent="0.3">
      <c r="A16" s="4" t="s">
        <v>79</v>
      </c>
      <c r="B16" s="9">
        <v>6</v>
      </c>
      <c r="C16"/>
      <c r="D16"/>
      <c r="E16"/>
      <c r="F16"/>
      <c r="G16"/>
      <c r="H16"/>
      <c r="I16"/>
      <c r="J16"/>
      <c r="K16"/>
    </row>
    <row r="17" spans="1:11" ht="19.350000000000001" customHeight="1" x14ac:dyDescent="0.3">
      <c r="A17" s="4" t="s">
        <v>9</v>
      </c>
      <c r="B17" s="10">
        <f>B15-B16</f>
        <v>1802</v>
      </c>
      <c r="C17"/>
      <c r="D17"/>
      <c r="E17"/>
      <c r="F17"/>
      <c r="G17"/>
      <c r="H17"/>
      <c r="I17"/>
      <c r="J17"/>
      <c r="K17"/>
    </row>
    <row r="18" spans="1:11" ht="29.1" customHeight="1" x14ac:dyDescent="0.3">
      <c r="A18" s="4" t="s">
        <v>83</v>
      </c>
      <c r="B18" s="10">
        <f>B17/12</f>
        <v>150.16666666666666</v>
      </c>
      <c r="C18"/>
      <c r="D18"/>
      <c r="E18"/>
      <c r="F18"/>
      <c r="G18"/>
      <c r="H18"/>
      <c r="I18"/>
      <c r="J18"/>
      <c r="K18"/>
    </row>
    <row r="20" spans="1:11" ht="15.6" x14ac:dyDescent="0.3">
      <c r="A20" s="82" t="s">
        <v>42</v>
      </c>
      <c r="B20" s="82"/>
      <c r="C20" s="82"/>
      <c r="D20" s="82"/>
      <c r="E20" s="82"/>
      <c r="F20" s="82"/>
      <c r="G20" s="82"/>
      <c r="H20" s="82"/>
    </row>
    <row r="21" spans="1:11" ht="15.6" x14ac:dyDescent="0.3">
      <c r="A21" s="5" t="s">
        <v>0</v>
      </c>
      <c r="B21" s="17" t="s">
        <v>1</v>
      </c>
      <c r="C21"/>
      <c r="D21"/>
      <c r="E21"/>
      <c r="F21"/>
      <c r="G21"/>
      <c r="H21"/>
      <c r="I21"/>
      <c r="J21"/>
      <c r="K21"/>
    </row>
    <row r="22" spans="1:11" ht="15.6" x14ac:dyDescent="0.3">
      <c r="A22" s="5"/>
      <c r="B22" s="62">
        <v>6</v>
      </c>
      <c r="C22"/>
      <c r="D22"/>
      <c r="E22"/>
      <c r="F22"/>
      <c r="G22"/>
      <c r="H22"/>
      <c r="I22"/>
      <c r="J22"/>
      <c r="K22"/>
    </row>
    <row r="23" spans="1:11" ht="15.6" x14ac:dyDescent="0.3">
      <c r="A23" s="4" t="s">
        <v>41</v>
      </c>
      <c r="B23" s="9">
        <v>450</v>
      </c>
      <c r="C23"/>
      <c r="D23"/>
      <c r="E23"/>
      <c r="F23"/>
      <c r="G23"/>
      <c r="H23"/>
      <c r="I23"/>
      <c r="J23"/>
      <c r="K23"/>
    </row>
    <row r="24" spans="1:11" ht="15.6" x14ac:dyDescent="0.3">
      <c r="A24" s="4" t="s">
        <v>58</v>
      </c>
      <c r="B24" s="9">
        <v>50</v>
      </c>
      <c r="C24"/>
      <c r="D24"/>
      <c r="E24"/>
      <c r="F24"/>
      <c r="G24"/>
      <c r="H24"/>
      <c r="I24"/>
      <c r="J24"/>
      <c r="K24"/>
    </row>
    <row r="25" spans="1:11" ht="15.6" x14ac:dyDescent="0.3">
      <c r="A25" s="4" t="s">
        <v>43</v>
      </c>
      <c r="B25" s="9">
        <v>3</v>
      </c>
      <c r="C25"/>
      <c r="D25"/>
      <c r="E25"/>
      <c r="F25"/>
      <c r="G25"/>
      <c r="H25"/>
      <c r="I25"/>
      <c r="J25"/>
      <c r="K25"/>
    </row>
    <row r="26" spans="1:11" ht="31.2" x14ac:dyDescent="0.3">
      <c r="A26" s="4" t="s">
        <v>71</v>
      </c>
      <c r="B26" s="9">
        <v>4760</v>
      </c>
      <c r="C26"/>
      <c r="D26"/>
      <c r="E26"/>
      <c r="F26"/>
      <c r="G26"/>
      <c r="H26"/>
      <c r="I26"/>
      <c r="J26"/>
      <c r="K26"/>
    </row>
    <row r="27" spans="1:11" ht="15.6" x14ac:dyDescent="0.3">
      <c r="A27" s="13" t="s">
        <v>49</v>
      </c>
      <c r="B27" s="19"/>
      <c r="C27"/>
      <c r="D27"/>
      <c r="E27"/>
      <c r="F27"/>
      <c r="G27"/>
      <c r="H27"/>
      <c r="I27"/>
      <c r="J27"/>
      <c r="K27"/>
    </row>
    <row r="28" spans="1:11" ht="15.6" x14ac:dyDescent="0.3">
      <c r="A28" s="21" t="s">
        <v>54</v>
      </c>
      <c r="B28" s="22">
        <v>1</v>
      </c>
      <c r="C28"/>
      <c r="D28"/>
      <c r="E28"/>
      <c r="F28"/>
      <c r="G28"/>
      <c r="H28"/>
      <c r="I28"/>
      <c r="J28"/>
      <c r="K28"/>
    </row>
    <row r="29" spans="1:11" ht="15.6" x14ac:dyDescent="0.3">
      <c r="A29" s="21" t="s">
        <v>50</v>
      </c>
      <c r="B29" s="22">
        <v>4</v>
      </c>
      <c r="C29"/>
      <c r="D29"/>
      <c r="E29"/>
      <c r="F29"/>
      <c r="G29"/>
      <c r="H29"/>
      <c r="I29"/>
      <c r="J29"/>
      <c r="K29"/>
    </row>
    <row r="30" spans="1:11" ht="15.6" x14ac:dyDescent="0.3">
      <c r="A30" s="23" t="s">
        <v>55</v>
      </c>
      <c r="B30" s="22">
        <v>3</v>
      </c>
      <c r="C30"/>
      <c r="D30"/>
      <c r="E30"/>
      <c r="F30"/>
      <c r="G30"/>
      <c r="H30"/>
      <c r="I30"/>
      <c r="J30"/>
      <c r="K30"/>
    </row>
    <row r="31" spans="1:11" ht="15.6" x14ac:dyDescent="0.3">
      <c r="A31" s="23" t="s">
        <v>51</v>
      </c>
      <c r="B31" s="22">
        <v>3</v>
      </c>
      <c r="C31"/>
      <c r="D31"/>
      <c r="E31"/>
      <c r="F31"/>
      <c r="G31"/>
      <c r="H31"/>
      <c r="I31"/>
      <c r="J31"/>
      <c r="K31"/>
    </row>
    <row r="32" spans="1:11" ht="15.6" x14ac:dyDescent="0.3">
      <c r="A32" s="23" t="s">
        <v>52</v>
      </c>
      <c r="B32" s="22">
        <v>2</v>
      </c>
      <c r="C32"/>
      <c r="D32"/>
      <c r="E32"/>
      <c r="F32"/>
      <c r="G32"/>
      <c r="H32"/>
      <c r="I32"/>
      <c r="J32"/>
      <c r="K32"/>
    </row>
    <row r="33" spans="1:12" ht="15.6" x14ac:dyDescent="0.3">
      <c r="A33" s="21" t="s">
        <v>53</v>
      </c>
      <c r="B33" s="22">
        <v>2</v>
      </c>
      <c r="C33"/>
      <c r="D33"/>
      <c r="E33"/>
      <c r="F33"/>
      <c r="G33"/>
      <c r="H33"/>
      <c r="I33"/>
      <c r="J33"/>
      <c r="K33"/>
    </row>
    <row r="34" spans="1:12" ht="15.6" x14ac:dyDescent="0.3">
      <c r="A34" s="25" t="s">
        <v>56</v>
      </c>
      <c r="B34" s="24"/>
      <c r="C34"/>
      <c r="D34"/>
      <c r="E34"/>
      <c r="F34"/>
      <c r="G34"/>
      <c r="H34"/>
      <c r="I34"/>
      <c r="J34"/>
      <c r="K34"/>
    </row>
    <row r="35" spans="1:12" ht="15.6" x14ac:dyDescent="0.3">
      <c r="A35" s="21" t="s">
        <v>54</v>
      </c>
      <c r="B35" s="24">
        <v>8</v>
      </c>
      <c r="C35"/>
      <c r="D35"/>
      <c r="E35"/>
      <c r="F35"/>
      <c r="G35"/>
      <c r="H35"/>
      <c r="I35"/>
      <c r="J35"/>
      <c r="K35"/>
    </row>
    <row r="36" spans="1:12" ht="15.6" x14ac:dyDescent="0.3">
      <c r="A36" s="21" t="s">
        <v>50</v>
      </c>
      <c r="B36" s="24">
        <v>4</v>
      </c>
      <c r="C36"/>
      <c r="D36"/>
      <c r="E36"/>
      <c r="F36"/>
      <c r="G36"/>
      <c r="H36"/>
      <c r="I36"/>
      <c r="J36"/>
      <c r="K36"/>
    </row>
    <row r="37" spans="1:12" ht="15.6" x14ac:dyDescent="0.3">
      <c r="A37" s="23" t="s">
        <v>55</v>
      </c>
      <c r="B37" s="24">
        <v>5</v>
      </c>
      <c r="C37"/>
      <c r="D37"/>
      <c r="E37"/>
      <c r="F37"/>
      <c r="G37"/>
      <c r="H37"/>
      <c r="I37"/>
      <c r="J37"/>
      <c r="K37"/>
    </row>
    <row r="38" spans="1:12" ht="15.6" x14ac:dyDescent="0.3">
      <c r="A38" s="23" t="s">
        <v>51</v>
      </c>
      <c r="B38" s="24">
        <v>7</v>
      </c>
      <c r="C38"/>
      <c r="D38"/>
      <c r="E38"/>
      <c r="F38"/>
      <c r="G38"/>
      <c r="H38"/>
      <c r="I38"/>
      <c r="J38"/>
      <c r="K38"/>
    </row>
    <row r="39" spans="1:12" ht="15.6" x14ac:dyDescent="0.3">
      <c r="A39" s="23" t="s">
        <v>52</v>
      </c>
      <c r="B39" s="24">
        <v>3</v>
      </c>
      <c r="C39"/>
      <c r="D39"/>
      <c r="E39"/>
      <c r="F39"/>
      <c r="G39"/>
      <c r="H39"/>
      <c r="I39"/>
      <c r="J39"/>
      <c r="K39"/>
    </row>
    <row r="40" spans="1:12" ht="15.6" x14ac:dyDescent="0.3">
      <c r="A40" s="21" t="s">
        <v>53</v>
      </c>
      <c r="B40" s="24">
        <v>2</v>
      </c>
      <c r="C40"/>
      <c r="D40"/>
      <c r="E40"/>
      <c r="F40"/>
      <c r="G40"/>
      <c r="H40"/>
      <c r="I40"/>
      <c r="J40"/>
      <c r="K40"/>
    </row>
    <row r="41" spans="1:12" ht="15.6" x14ac:dyDescent="0.3">
      <c r="A41" s="55" t="s">
        <v>66</v>
      </c>
      <c r="B41" s="22"/>
      <c r="C41"/>
      <c r="D41"/>
      <c r="E41"/>
      <c r="F41"/>
      <c r="G41"/>
      <c r="H41"/>
      <c r="I41"/>
      <c r="J41"/>
      <c r="K41"/>
    </row>
    <row r="42" spans="1:12" ht="15.6" x14ac:dyDescent="0.3">
      <c r="A42" s="23" t="s">
        <v>67</v>
      </c>
      <c r="B42" s="22">
        <v>2</v>
      </c>
      <c r="C42"/>
      <c r="D42"/>
      <c r="E42"/>
      <c r="F42"/>
      <c r="G42"/>
      <c r="H42"/>
      <c r="I42"/>
      <c r="J42"/>
      <c r="K42"/>
    </row>
    <row r="43" spans="1:12" ht="15.6" x14ac:dyDescent="0.3">
      <c r="A43" s="23" t="s">
        <v>34</v>
      </c>
      <c r="B43" s="22">
        <v>3</v>
      </c>
      <c r="C43"/>
      <c r="D43"/>
      <c r="E43"/>
      <c r="F43"/>
      <c r="G43"/>
      <c r="H43"/>
      <c r="I43"/>
      <c r="J43"/>
      <c r="K43"/>
      <c r="L43" s="35"/>
    </row>
    <row r="44" spans="1:12" ht="15.6" x14ac:dyDescent="0.3">
      <c r="A44" s="23" t="s">
        <v>35</v>
      </c>
      <c r="B44" s="22">
        <v>1</v>
      </c>
      <c r="C44"/>
      <c r="D44"/>
      <c r="E44"/>
      <c r="F44"/>
      <c r="G44"/>
      <c r="H44"/>
      <c r="I44"/>
      <c r="J44"/>
      <c r="K44"/>
      <c r="L44" s="26"/>
    </row>
    <row r="45" spans="1:12" ht="15.6" x14ac:dyDescent="0.3">
      <c r="A45" s="56" t="s">
        <v>64</v>
      </c>
      <c r="B45" s="22"/>
      <c r="C45"/>
      <c r="D45"/>
      <c r="E45"/>
      <c r="F45"/>
      <c r="G45"/>
      <c r="H45"/>
      <c r="I45"/>
      <c r="J45"/>
      <c r="K45"/>
      <c r="L45" s="35"/>
    </row>
    <row r="46" spans="1:12" ht="15.6" x14ac:dyDescent="0.3">
      <c r="A46" s="23" t="s">
        <v>33</v>
      </c>
      <c r="B46" s="22">
        <v>3010</v>
      </c>
      <c r="C46"/>
      <c r="D46"/>
      <c r="E46"/>
      <c r="F46"/>
      <c r="G46"/>
      <c r="H46"/>
      <c r="I46"/>
      <c r="J46"/>
      <c r="K46"/>
    </row>
    <row r="47" spans="1:12" ht="15.6" x14ac:dyDescent="0.3">
      <c r="A47" s="23" t="s">
        <v>34</v>
      </c>
      <c r="B47" s="22">
        <v>2460</v>
      </c>
      <c r="C47"/>
      <c r="D47"/>
      <c r="E47"/>
      <c r="F47"/>
      <c r="G47"/>
      <c r="H47"/>
      <c r="I47"/>
      <c r="J47"/>
      <c r="K47"/>
    </row>
    <row r="48" spans="1:12" ht="15.6" x14ac:dyDescent="0.3">
      <c r="A48" s="23" t="s">
        <v>35</v>
      </c>
      <c r="B48" s="22">
        <v>2170</v>
      </c>
      <c r="C48"/>
      <c r="D48"/>
      <c r="E48"/>
      <c r="F48"/>
      <c r="G48"/>
      <c r="H48"/>
      <c r="I48"/>
      <c r="J48"/>
      <c r="K48"/>
    </row>
    <row r="49" spans="1:11" ht="15.6" x14ac:dyDescent="0.3">
      <c r="A49" s="15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spans="1:11" ht="15.6" x14ac:dyDescent="0.3">
      <c r="A50" s="82" t="s">
        <v>39</v>
      </c>
      <c r="B50" s="82"/>
      <c r="C50" s="82"/>
      <c r="D50" s="82"/>
      <c r="E50" s="82"/>
      <c r="F50" s="82"/>
      <c r="G50" s="82"/>
      <c r="H50" s="82"/>
    </row>
    <row r="51" spans="1:11" ht="15.6" x14ac:dyDescent="0.3">
      <c r="A51" s="13" t="s">
        <v>11</v>
      </c>
      <c r="B51" s="14">
        <v>1</v>
      </c>
      <c r="C51" s="14">
        <v>2</v>
      </c>
      <c r="D51" s="14">
        <v>3</v>
      </c>
      <c r="E51" s="14">
        <v>4</v>
      </c>
      <c r="F51" s="14">
        <v>5</v>
      </c>
      <c r="G51" s="14">
        <v>6</v>
      </c>
      <c r="H51" s="14">
        <v>7</v>
      </c>
      <c r="I51" s="16">
        <v>8</v>
      </c>
    </row>
    <row r="52" spans="1:11" ht="15.6" x14ac:dyDescent="0.3">
      <c r="A52" s="13" t="s">
        <v>12</v>
      </c>
      <c r="B52" s="20">
        <f>$B$23/$B$18*B53</f>
        <v>2.9966703662597118</v>
      </c>
      <c r="C52" s="20">
        <f t="shared" ref="C52:I52" si="0">$B$23/$B$18*C53</f>
        <v>3.4761376248612654</v>
      </c>
      <c r="D52" s="20">
        <f t="shared" si="0"/>
        <v>4.045504994450611</v>
      </c>
      <c r="E52" s="20">
        <f t="shared" si="0"/>
        <v>4.704772475027748</v>
      </c>
      <c r="F52" s="20">
        <f t="shared" si="0"/>
        <v>5.1842397336293011</v>
      </c>
      <c r="G52" s="20">
        <f t="shared" si="0"/>
        <v>5.6936736958934526</v>
      </c>
      <c r="H52" s="20">
        <f t="shared" si="0"/>
        <v>6.0832408435072143</v>
      </c>
      <c r="I52" s="20">
        <f t="shared" si="0"/>
        <v>6.5027746947835743</v>
      </c>
    </row>
    <row r="53" spans="1:11" ht="15.6" x14ac:dyDescent="0.3">
      <c r="A53" s="13" t="s">
        <v>13</v>
      </c>
      <c r="B53" s="46">
        <v>1</v>
      </c>
      <c r="C53" s="47">
        <v>1.1599999999999999</v>
      </c>
      <c r="D53" s="47">
        <v>1.35</v>
      </c>
      <c r="E53" s="47">
        <v>1.57</v>
      </c>
      <c r="F53" s="47">
        <v>1.73</v>
      </c>
      <c r="G53" s="47">
        <v>1.9</v>
      </c>
      <c r="H53" s="47">
        <v>2.0299999999999998</v>
      </c>
      <c r="I53" s="47">
        <v>2.17</v>
      </c>
    </row>
    <row r="54" spans="1:11" ht="11.85" customHeight="1" x14ac:dyDescent="0.3">
      <c r="A54" s="48"/>
      <c r="B54" s="50"/>
      <c r="C54" s="51"/>
      <c r="D54" s="51"/>
      <c r="E54" s="51"/>
      <c r="F54" s="51"/>
      <c r="G54" s="51"/>
      <c r="H54" s="51"/>
      <c r="I54" s="51"/>
      <c r="J54" s="35"/>
    </row>
    <row r="55" spans="1:11" ht="15.6" x14ac:dyDescent="0.3">
      <c r="A55" s="81" t="s">
        <v>40</v>
      </c>
      <c r="B55" s="81"/>
      <c r="C55" s="81"/>
      <c r="D55" s="81"/>
      <c r="E55" s="81"/>
      <c r="F55" s="81"/>
      <c r="G55" s="81"/>
      <c r="H55" s="81"/>
      <c r="I55" s="81"/>
    </row>
    <row r="56" spans="1:11" ht="32.85" customHeight="1" x14ac:dyDescent="0.3">
      <c r="A56" s="83" t="s">
        <v>14</v>
      </c>
      <c r="B56" s="83" t="s">
        <v>15</v>
      </c>
      <c r="C56" s="83"/>
      <c r="D56" s="83"/>
      <c r="E56" s="83"/>
      <c r="F56" s="83" t="s">
        <v>16</v>
      </c>
      <c r="G56" s="83"/>
      <c r="H56" s="36"/>
      <c r="I56" s="36"/>
    </row>
    <row r="57" spans="1:11" ht="36.6" customHeight="1" x14ac:dyDescent="0.3">
      <c r="A57" s="83"/>
      <c r="B57" s="84" t="s">
        <v>17</v>
      </c>
      <c r="C57" s="83" t="s">
        <v>68</v>
      </c>
      <c r="D57" s="83"/>
      <c r="E57" s="84" t="s">
        <v>18</v>
      </c>
      <c r="F57" s="83" t="s">
        <v>57</v>
      </c>
      <c r="G57" s="83" t="s">
        <v>19</v>
      </c>
      <c r="H57" s="36"/>
      <c r="I57" s="36"/>
    </row>
    <row r="58" spans="1:11" ht="48.9" customHeight="1" x14ac:dyDescent="0.3">
      <c r="A58" s="83"/>
      <c r="B58" s="84"/>
      <c r="C58" s="49" t="s">
        <v>20</v>
      </c>
      <c r="D58" s="49" t="s">
        <v>21</v>
      </c>
      <c r="E58" s="84"/>
      <c r="F58" s="83"/>
      <c r="G58" s="83"/>
      <c r="H58" s="36"/>
      <c r="I58" s="36"/>
    </row>
    <row r="59" spans="1:11" x14ac:dyDescent="0.3">
      <c r="A59" s="32" t="s">
        <v>22</v>
      </c>
      <c r="B59" s="32"/>
      <c r="C59" s="32"/>
      <c r="D59" s="32"/>
      <c r="E59" s="32"/>
      <c r="F59" s="32"/>
      <c r="G59" s="32"/>
      <c r="H59" s="36"/>
      <c r="I59" s="36"/>
    </row>
    <row r="60" spans="1:11" x14ac:dyDescent="0.3">
      <c r="A60" s="12" t="s">
        <v>36</v>
      </c>
      <c r="B60" s="33">
        <f>B35</f>
        <v>8</v>
      </c>
      <c r="C60" s="33">
        <f>B28</f>
        <v>1</v>
      </c>
      <c r="D60" s="34">
        <f>C60*$B$25</f>
        <v>3</v>
      </c>
      <c r="E60" s="33">
        <f>D60*$E$14</f>
        <v>3.4115044247787614</v>
      </c>
      <c r="F60" s="33">
        <f>$B$18*E60</f>
        <v>512.29424778761063</v>
      </c>
      <c r="G60" s="33">
        <f>F60*I52</f>
        <v>3331.3340707964603</v>
      </c>
      <c r="H60" s="37"/>
      <c r="I60" s="37"/>
    </row>
    <row r="61" spans="1:11" x14ac:dyDescent="0.3">
      <c r="A61" s="12" t="s">
        <v>23</v>
      </c>
      <c r="B61" s="33">
        <f>B36</f>
        <v>4</v>
      </c>
      <c r="C61" s="33">
        <f>B29</f>
        <v>4</v>
      </c>
      <c r="D61" s="34">
        <f t="shared" ref="D61:D69" si="1">C61*$B$25</f>
        <v>12</v>
      </c>
      <c r="E61" s="33">
        <f t="shared" ref="E61:E69" si="2">D61*$E$14</f>
        <v>13.646017699115045</v>
      </c>
      <c r="F61" s="33">
        <f t="shared" ref="F61:F69" si="3">$B$18*E61</f>
        <v>2049.1769911504425</v>
      </c>
      <c r="G61" s="33">
        <f>F61*E52</f>
        <v>9640.911504424781</v>
      </c>
      <c r="H61" s="37"/>
      <c r="I61" s="37"/>
    </row>
    <row r="62" spans="1:11" x14ac:dyDescent="0.3">
      <c r="A62" s="30" t="s">
        <v>24</v>
      </c>
      <c r="B62" s="29"/>
      <c r="C62" s="42">
        <f>SUM(C60:C61)</f>
        <v>5</v>
      </c>
      <c r="D62" s="42">
        <f t="shared" ref="D62:G62" si="4">SUM(D60:D61)</f>
        <v>15</v>
      </c>
      <c r="E62" s="42">
        <f t="shared" si="4"/>
        <v>17.057522123893808</v>
      </c>
      <c r="F62" s="42">
        <f t="shared" si="4"/>
        <v>2561.4712389380529</v>
      </c>
      <c r="G62" s="42">
        <f t="shared" si="4"/>
        <v>12972.245575221241</v>
      </c>
      <c r="H62" s="37"/>
      <c r="I62" s="37"/>
    </row>
    <row r="63" spans="1:11" x14ac:dyDescent="0.3">
      <c r="A63" s="32" t="s">
        <v>25</v>
      </c>
      <c r="B63" s="32"/>
      <c r="C63" s="32"/>
      <c r="D63"/>
      <c r="E63"/>
      <c r="F63"/>
      <c r="G63"/>
      <c r="H63" s="36"/>
      <c r="I63" s="36"/>
    </row>
    <row r="64" spans="1:11" x14ac:dyDescent="0.3">
      <c r="A64" s="30" t="s">
        <v>44</v>
      </c>
      <c r="B64" s="33">
        <f>B37</f>
        <v>5</v>
      </c>
      <c r="C64" s="33">
        <f>B30</f>
        <v>3</v>
      </c>
      <c r="D64" s="34">
        <f t="shared" si="1"/>
        <v>9</v>
      </c>
      <c r="E64" s="33">
        <f t="shared" si="2"/>
        <v>10.234513274336283</v>
      </c>
      <c r="F64" s="33">
        <f t="shared" si="3"/>
        <v>1536.8827433628317</v>
      </c>
      <c r="G64" s="41">
        <f>F64*F52</f>
        <v>7967.5685840707956</v>
      </c>
      <c r="H64" s="37"/>
      <c r="I64" s="38"/>
    </row>
    <row r="65" spans="1:9" x14ac:dyDescent="0.3">
      <c r="A65" s="30" t="s">
        <v>45</v>
      </c>
      <c r="B65" s="33">
        <f>B38</f>
        <v>7</v>
      </c>
      <c r="C65" s="33">
        <f>B31</f>
        <v>3</v>
      </c>
      <c r="D65" s="34">
        <f t="shared" si="1"/>
        <v>9</v>
      </c>
      <c r="E65" s="33">
        <f t="shared" si="2"/>
        <v>10.234513274336283</v>
      </c>
      <c r="F65" s="33">
        <f t="shared" si="3"/>
        <v>1536.8827433628317</v>
      </c>
      <c r="G65" s="41">
        <f>F65*H52</f>
        <v>9349.2278761061934</v>
      </c>
      <c r="H65" s="37"/>
      <c r="I65" s="37"/>
    </row>
    <row r="66" spans="1:9" x14ac:dyDescent="0.3">
      <c r="A66" s="30" t="s">
        <v>24</v>
      </c>
      <c r="B66" s="44"/>
      <c r="C66" s="43">
        <f>SUM(C64:C65)</f>
        <v>6</v>
      </c>
      <c r="D66" s="43">
        <f t="shared" ref="D66:G66" si="5">SUM(D64:D65)</f>
        <v>18</v>
      </c>
      <c r="E66" s="43">
        <f t="shared" si="5"/>
        <v>20.469026548672566</v>
      </c>
      <c r="F66" s="43">
        <f t="shared" si="5"/>
        <v>3073.7654867256633</v>
      </c>
      <c r="G66" s="43">
        <f t="shared" si="5"/>
        <v>17316.796460176989</v>
      </c>
      <c r="H66" s="37"/>
      <c r="I66" s="37"/>
    </row>
    <row r="67" spans="1:9" x14ac:dyDescent="0.3">
      <c r="A67" s="32" t="s">
        <v>26</v>
      </c>
      <c r="B67" s="32"/>
      <c r="C67" s="32"/>
      <c r="D67"/>
      <c r="E67"/>
      <c r="F67"/>
      <c r="G67" s="40"/>
      <c r="H67" s="36"/>
      <c r="I67" s="36"/>
    </row>
    <row r="68" spans="1:9" x14ac:dyDescent="0.3">
      <c r="A68" s="30" t="s">
        <v>46</v>
      </c>
      <c r="B68" s="33">
        <f>B39</f>
        <v>3</v>
      </c>
      <c r="C68" s="33">
        <f>B32</f>
        <v>2</v>
      </c>
      <c r="D68" s="34">
        <f t="shared" si="1"/>
        <v>6</v>
      </c>
      <c r="E68" s="33">
        <f t="shared" si="2"/>
        <v>6.8230088495575227</v>
      </c>
      <c r="F68" s="33">
        <f t="shared" si="3"/>
        <v>1024.5884955752213</v>
      </c>
      <c r="G68" s="41">
        <f>F68*D52</f>
        <v>4144.9778761061953</v>
      </c>
      <c r="H68" s="37"/>
      <c r="I68" s="37"/>
    </row>
    <row r="69" spans="1:9" x14ac:dyDescent="0.3">
      <c r="A69" s="30" t="s">
        <v>47</v>
      </c>
      <c r="B69" s="33">
        <f>B40</f>
        <v>2</v>
      </c>
      <c r="C69" s="33">
        <f>B33</f>
        <v>2</v>
      </c>
      <c r="D69" s="34">
        <f t="shared" si="1"/>
        <v>6</v>
      </c>
      <c r="E69" s="33">
        <f t="shared" si="2"/>
        <v>6.8230088495575227</v>
      </c>
      <c r="F69" s="33">
        <f t="shared" si="3"/>
        <v>1024.5884955752213</v>
      </c>
      <c r="G69" s="41">
        <f>F69*C52</f>
        <v>3561.6106194690269</v>
      </c>
      <c r="H69" s="37"/>
      <c r="I69" s="37"/>
    </row>
    <row r="70" spans="1:9" x14ac:dyDescent="0.3">
      <c r="A70" s="30" t="s">
        <v>24</v>
      </c>
      <c r="B70" s="29"/>
      <c r="C70" s="42">
        <f>SUM(C68:C69)</f>
        <v>4</v>
      </c>
      <c r="D70" s="42">
        <f t="shared" ref="D70:G70" si="6">SUM(D68:D69)</f>
        <v>12</v>
      </c>
      <c r="E70" s="42">
        <f t="shared" si="6"/>
        <v>13.646017699115045</v>
      </c>
      <c r="F70" s="42">
        <f t="shared" si="6"/>
        <v>2049.1769911504425</v>
      </c>
      <c r="G70" s="42">
        <f t="shared" si="6"/>
        <v>7706.5884955752226</v>
      </c>
      <c r="H70" s="37"/>
      <c r="I70" s="37"/>
    </row>
    <row r="71" spans="1:9" x14ac:dyDescent="0.3">
      <c r="A71" s="30" t="s">
        <v>48</v>
      </c>
      <c r="B71" s="29"/>
      <c r="C71" s="45">
        <f>SUM(C62,C66,C70)</f>
        <v>15</v>
      </c>
      <c r="D71" s="45">
        <f t="shared" ref="D71:G71" si="7">SUM(D62,D66,D70)</f>
        <v>45</v>
      </c>
      <c r="E71" s="45">
        <f t="shared" si="7"/>
        <v>51.172566371681427</v>
      </c>
      <c r="F71" s="45">
        <f t="shared" si="7"/>
        <v>7684.4137168141588</v>
      </c>
      <c r="G71" s="45">
        <f t="shared" si="7"/>
        <v>37995.630530973453</v>
      </c>
      <c r="H71" s="37"/>
      <c r="I71" s="37"/>
    </row>
    <row r="72" spans="1:9" x14ac:dyDescent="0.3">
      <c r="H72" s="39"/>
      <c r="I72" s="39"/>
    </row>
    <row r="73" spans="1:9" ht="15.6" x14ac:dyDescent="0.3">
      <c r="A73" s="80" t="s">
        <v>61</v>
      </c>
      <c r="B73" s="80"/>
      <c r="C73" s="80"/>
      <c r="D73" s="80"/>
    </row>
    <row r="74" spans="1:9" ht="14.55" customHeight="1" x14ac:dyDescent="0.3">
      <c r="A74" s="83" t="s">
        <v>60</v>
      </c>
      <c r="B74" s="87" t="s">
        <v>28</v>
      </c>
      <c r="C74" s="88"/>
      <c r="D74" s="89"/>
      <c r="E74" s="27"/>
      <c r="F74" s="27"/>
    </row>
    <row r="75" spans="1:9" ht="48.45" customHeight="1" x14ac:dyDescent="0.3">
      <c r="A75" s="83"/>
      <c r="B75" s="5" t="s">
        <v>59</v>
      </c>
      <c r="C75" s="5" t="s">
        <v>29</v>
      </c>
      <c r="D75" s="5" t="s">
        <v>30</v>
      </c>
      <c r="E75" s="28"/>
      <c r="F75" s="31"/>
    </row>
    <row r="76" spans="1:9" ht="18" x14ac:dyDescent="0.3">
      <c r="A76" s="4" t="s">
        <v>89</v>
      </c>
      <c r="B76" s="10">
        <f>G62</f>
        <v>12972.245575221241</v>
      </c>
      <c r="C76" s="10">
        <f>G66</f>
        <v>17316.796460176989</v>
      </c>
      <c r="D76" s="10">
        <f>G70</f>
        <v>7706.5884955752226</v>
      </c>
      <c r="E76" s="28"/>
      <c r="F76" s="3"/>
    </row>
    <row r="77" spans="1:9" ht="14.55" customHeight="1" x14ac:dyDescent="0.3">
      <c r="A77" s="4" t="s">
        <v>90</v>
      </c>
      <c r="B77" s="10">
        <f>$B$24 / 100 * B76</f>
        <v>6486.1227876106204</v>
      </c>
      <c r="C77" s="10">
        <f>$B$24 / 100 * C76</f>
        <v>8658.3982300884945</v>
      </c>
      <c r="D77" s="10">
        <f>$B$24 / 100 * D76</f>
        <v>3853.2942477876113</v>
      </c>
      <c r="E77" s="28"/>
      <c r="F77" s="3"/>
    </row>
    <row r="78" spans="1:9" ht="15.6" x14ac:dyDescent="0.3">
      <c r="A78" s="4" t="s">
        <v>91</v>
      </c>
      <c r="B78" s="10">
        <f>B76/3*0.2</f>
        <v>864.81637168141606</v>
      </c>
      <c r="C78" s="10">
        <f t="shared" ref="C78:D78" si="8">C76/3*0.2</f>
        <v>1154.4530973451326</v>
      </c>
      <c r="D78" s="10">
        <f t="shared" si="8"/>
        <v>513.77256637168148</v>
      </c>
      <c r="E78" s="85"/>
      <c r="F78" s="86"/>
    </row>
    <row r="79" spans="1:9" ht="15.6" x14ac:dyDescent="0.3">
      <c r="A79" s="4" t="s">
        <v>92</v>
      </c>
      <c r="B79" s="10">
        <f>B76/3*0.4</f>
        <v>1729.6327433628321</v>
      </c>
      <c r="C79" s="10">
        <f t="shared" ref="C79:D79" si="9">C76/3*0.4</f>
        <v>2308.9061946902652</v>
      </c>
      <c r="D79" s="10">
        <f t="shared" si="9"/>
        <v>1027.545132743363</v>
      </c>
      <c r="E79" s="85"/>
      <c r="F79" s="86"/>
    </row>
    <row r="80" spans="1:9" ht="17.25" customHeight="1" x14ac:dyDescent="0.3">
      <c r="A80" s="4" t="s">
        <v>95</v>
      </c>
      <c r="B80" s="54">
        <f>SUM(B76:B79)</f>
        <v>22052.817477876109</v>
      </c>
      <c r="C80" s="54">
        <f t="shared" ref="C80:D80" si="10">SUM(C76:C79)</f>
        <v>29438.55398230088</v>
      </c>
      <c r="D80" s="54">
        <f t="shared" si="10"/>
        <v>13101.200442477879</v>
      </c>
      <c r="E80" s="28"/>
      <c r="F80" s="3"/>
    </row>
    <row r="81" spans="1:7" ht="17.25" customHeight="1" x14ac:dyDescent="0.3">
      <c r="A81" s="4" t="s">
        <v>93</v>
      </c>
      <c r="B81" s="57">
        <f>$B$10/$B$14*100</f>
        <v>12.389380530973451</v>
      </c>
      <c r="C81" s="57">
        <f t="shared" ref="C81:D81" si="11">$B$10/$B$14*100</f>
        <v>12.389380530973451</v>
      </c>
      <c r="D81" s="57">
        <f t="shared" si="11"/>
        <v>12.389380530973451</v>
      </c>
      <c r="E81" s="28"/>
      <c r="F81" s="3"/>
    </row>
    <row r="82" spans="1:7" ht="16.2" customHeight="1" x14ac:dyDescent="0.3">
      <c r="A82" s="4" t="s">
        <v>94</v>
      </c>
      <c r="B82" s="54">
        <f>B80*B81/100</f>
        <v>2732.2074751350929</v>
      </c>
      <c r="C82" s="54">
        <f>C80*C81/100</f>
        <v>3647.2544756832945</v>
      </c>
      <c r="D82" s="54">
        <f>D80*D81/100</f>
        <v>1623.1575769441617</v>
      </c>
      <c r="E82" s="28"/>
      <c r="F82" s="3"/>
    </row>
    <row r="83" spans="1:7" ht="15.6" x14ac:dyDescent="0.3">
      <c r="A83" s="53" t="s">
        <v>96</v>
      </c>
      <c r="B83" s="72">
        <f>B80+B82</f>
        <v>24785.024953011201</v>
      </c>
      <c r="C83" s="72">
        <f t="shared" ref="C83:D83" si="12">C80+C82</f>
        <v>33085.808457984174</v>
      </c>
      <c r="D83" s="72">
        <f t="shared" si="12"/>
        <v>14724.358019422041</v>
      </c>
      <c r="E83" s="27"/>
      <c r="F83" s="27"/>
    </row>
    <row r="85" spans="1:7" ht="15.6" x14ac:dyDescent="0.3">
      <c r="A85" s="81" t="s">
        <v>62</v>
      </c>
      <c r="B85" s="81"/>
      <c r="C85" s="81"/>
      <c r="D85" s="81"/>
      <c r="E85" s="81"/>
      <c r="F85" s="81"/>
      <c r="G85" s="81"/>
    </row>
    <row r="86" spans="1:7" ht="26.85" customHeight="1" x14ac:dyDescent="0.3">
      <c r="A86" s="5" t="s">
        <v>65</v>
      </c>
      <c r="B86" s="84" t="s">
        <v>31</v>
      </c>
      <c r="C86" s="83" t="s">
        <v>64</v>
      </c>
      <c r="D86" s="87" t="s">
        <v>28</v>
      </c>
      <c r="E86" s="88"/>
      <c r="F86" s="88"/>
      <c r="G86" s="89"/>
    </row>
    <row r="87" spans="1:7" ht="53.7" customHeight="1" x14ac:dyDescent="0.3">
      <c r="A87" s="5"/>
      <c r="B87" s="84"/>
      <c r="C87" s="83"/>
      <c r="D87" s="7" t="s">
        <v>63</v>
      </c>
      <c r="E87" s="7" t="s">
        <v>101</v>
      </c>
      <c r="F87" s="7" t="s">
        <v>100</v>
      </c>
      <c r="G87" s="7" t="s">
        <v>32</v>
      </c>
    </row>
    <row r="88" spans="1:7" ht="15.6" x14ac:dyDescent="0.3">
      <c r="A88" s="56" t="s">
        <v>33</v>
      </c>
      <c r="B88" s="10">
        <f>B42</f>
        <v>2</v>
      </c>
      <c r="C88" s="10">
        <f>B46</f>
        <v>3010</v>
      </c>
      <c r="D88" s="8">
        <f>C88*12</f>
        <v>36120</v>
      </c>
      <c r="E88" s="10">
        <f>D88*$B$24/100</f>
        <v>18060</v>
      </c>
      <c r="F88" s="10">
        <f>$B$10/$B$14*SUM(D88:E88)</f>
        <v>6712.5663716814161</v>
      </c>
      <c r="G88" s="10">
        <f>SUM(D88:F88)</f>
        <v>60892.566371681416</v>
      </c>
    </row>
    <row r="89" spans="1:7" ht="15.6" x14ac:dyDescent="0.3">
      <c r="A89" s="4" t="s">
        <v>34</v>
      </c>
      <c r="B89" s="10">
        <f>B43</f>
        <v>3</v>
      </c>
      <c r="C89" s="10">
        <f t="shared" ref="C89:C90" si="13">B47</f>
        <v>2460</v>
      </c>
      <c r="D89" s="8">
        <f t="shared" ref="D89:D90" si="14">C89*12</f>
        <v>29520</v>
      </c>
      <c r="E89" s="10">
        <f t="shared" ref="E89:E90" si="15">D89*$B$24/100</f>
        <v>14760</v>
      </c>
      <c r="F89" s="10">
        <f t="shared" ref="F89:F90" si="16">$B$10/$B$14*100</f>
        <v>12.389380530973451</v>
      </c>
      <c r="G89" s="10">
        <f t="shared" ref="G89:G90" si="17">SUM(D89:F89)</f>
        <v>44292.389380530971</v>
      </c>
    </row>
    <row r="90" spans="1:7" ht="15.6" x14ac:dyDescent="0.3">
      <c r="A90" s="4" t="s">
        <v>35</v>
      </c>
      <c r="B90" s="10">
        <f>B44</f>
        <v>1</v>
      </c>
      <c r="C90" s="10">
        <f t="shared" si="13"/>
        <v>2170</v>
      </c>
      <c r="D90" s="8">
        <f t="shared" si="14"/>
        <v>26040</v>
      </c>
      <c r="E90" s="10">
        <f t="shared" si="15"/>
        <v>13020</v>
      </c>
      <c r="F90" s="10">
        <f t="shared" si="16"/>
        <v>12.389380530973451</v>
      </c>
      <c r="G90" s="10">
        <f t="shared" si="17"/>
        <v>39072.389380530971</v>
      </c>
    </row>
    <row r="91" spans="1:7" ht="15.6" x14ac:dyDescent="0.3">
      <c r="A91" s="4" t="s">
        <v>27</v>
      </c>
      <c r="B91" s="54">
        <f>SUM(B88:B90)</f>
        <v>6</v>
      </c>
      <c r="C91"/>
      <c r="D91" s="54">
        <f t="shared" ref="D91:G91" si="18">SUM(D88:D90)</f>
        <v>91680</v>
      </c>
      <c r="E91" s="54">
        <f t="shared" si="18"/>
        <v>45840</v>
      </c>
      <c r="F91" s="54">
        <f t="shared" si="18"/>
        <v>6737.3451327433631</v>
      </c>
      <c r="G91" s="54">
        <f t="shared" si="18"/>
        <v>144257.34513274336</v>
      </c>
    </row>
    <row r="93" spans="1:7" ht="15.6" x14ac:dyDescent="0.3">
      <c r="A93" s="58" t="s">
        <v>69</v>
      </c>
    </row>
    <row r="94" spans="1:7" ht="15.6" x14ac:dyDescent="0.3">
      <c r="A94" s="59" t="s">
        <v>70</v>
      </c>
      <c r="B94" s="6" t="s">
        <v>1</v>
      </c>
    </row>
    <row r="95" spans="1:7" ht="15.6" x14ac:dyDescent="0.3">
      <c r="A95" s="59" t="s">
        <v>72</v>
      </c>
      <c r="B95" s="60">
        <f>B83*E62+C83*E66+D83*E70+G88*B88+G89*B89+G90*B90</f>
        <v>1594668.9435946485</v>
      </c>
    </row>
    <row r="96" spans="1:7" ht="15.6" x14ac:dyDescent="0.3">
      <c r="A96" s="59" t="s">
        <v>73</v>
      </c>
      <c r="B96" s="60">
        <f>SUM(B28:B33,B42:B44)</f>
        <v>21</v>
      </c>
    </row>
    <row r="97" spans="1:2" ht="15.6" x14ac:dyDescent="0.3">
      <c r="A97" s="59" t="s">
        <v>74</v>
      </c>
      <c r="B97" s="61">
        <f>B95/B96</f>
        <v>75936.616361649925</v>
      </c>
    </row>
    <row r="98" spans="1:2" ht="15.6" x14ac:dyDescent="0.3">
      <c r="A98" s="59" t="s">
        <v>75</v>
      </c>
      <c r="B98" s="61">
        <f>B97/12</f>
        <v>6328.0513634708268</v>
      </c>
    </row>
    <row r="99" spans="1:2" ht="19.95" customHeight="1" x14ac:dyDescent="0.3">
      <c r="A99" s="59" t="s">
        <v>76</v>
      </c>
      <c r="B99" s="90">
        <f>B26/B96</f>
        <v>226.66666666666666</v>
      </c>
    </row>
    <row r="100" spans="1:2" ht="29.55" customHeight="1" x14ac:dyDescent="0.3">
      <c r="A100" s="59" t="s">
        <v>109</v>
      </c>
      <c r="B100" s="90">
        <f>B101*8</f>
        <v>1.0062893081761006</v>
      </c>
    </row>
    <row r="101" spans="1:2" ht="31.2" x14ac:dyDescent="0.3">
      <c r="A101" s="59" t="s">
        <v>77</v>
      </c>
      <c r="B101" s="90">
        <f>B26/B96/B17</f>
        <v>0.12578616352201258</v>
      </c>
    </row>
  </sheetData>
  <mergeCells count="21">
    <mergeCell ref="B86:B87"/>
    <mergeCell ref="C86:C87"/>
    <mergeCell ref="E78:E79"/>
    <mergeCell ref="F78:F79"/>
    <mergeCell ref="A74:A75"/>
    <mergeCell ref="D86:G86"/>
    <mergeCell ref="B74:D74"/>
    <mergeCell ref="A3:B3"/>
    <mergeCell ref="A73:D73"/>
    <mergeCell ref="A85:G85"/>
    <mergeCell ref="A50:H50"/>
    <mergeCell ref="A20:H20"/>
    <mergeCell ref="A55:I55"/>
    <mergeCell ref="B56:E56"/>
    <mergeCell ref="F56:G56"/>
    <mergeCell ref="A56:A58"/>
    <mergeCell ref="B57:B58"/>
    <mergeCell ref="C57:D57"/>
    <mergeCell ref="E57:E58"/>
    <mergeCell ref="F57:F58"/>
    <mergeCell ref="G57:G5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topLeftCell="A80" workbookViewId="0">
      <selection activeCell="A24" sqref="A24"/>
    </sheetView>
  </sheetViews>
  <sheetFormatPr defaultRowHeight="14.4" x14ac:dyDescent="0.3"/>
  <cols>
    <col min="1" max="1" width="110.33203125" customWidth="1"/>
  </cols>
  <sheetData>
    <row r="1" spans="1:1" ht="18" x14ac:dyDescent="0.3">
      <c r="A1" s="63" t="s">
        <v>80</v>
      </c>
    </row>
    <row r="2" spans="1:1" ht="18" x14ac:dyDescent="0.3">
      <c r="A2" s="68" t="s">
        <v>81</v>
      </c>
    </row>
    <row r="3" spans="1:1" ht="62.4" x14ac:dyDescent="0.3">
      <c r="A3" s="64" t="s">
        <v>82</v>
      </c>
    </row>
    <row r="4" spans="1:1" ht="15.6" x14ac:dyDescent="0.3">
      <c r="A4" s="65"/>
    </row>
    <row r="5" spans="1:1" ht="62.4" x14ac:dyDescent="0.3">
      <c r="A5" s="66" t="s">
        <v>84</v>
      </c>
    </row>
    <row r="6" spans="1:1" ht="15.6" x14ac:dyDescent="0.3">
      <c r="A6" s="65"/>
    </row>
    <row r="7" spans="1:1" ht="15.6" x14ac:dyDescent="0.3">
      <c r="A7" s="69" t="s">
        <v>85</v>
      </c>
    </row>
    <row r="8" spans="1:1" ht="15.6" x14ac:dyDescent="0.3">
      <c r="A8" s="65"/>
    </row>
    <row r="9" spans="1:1" ht="31.2" x14ac:dyDescent="0.3">
      <c r="A9" s="70" t="s">
        <v>86</v>
      </c>
    </row>
    <row r="10" spans="1:1" ht="15.6" x14ac:dyDescent="0.3">
      <c r="A10" s="65" t="s">
        <v>107</v>
      </c>
    </row>
    <row r="11" spans="1:1" ht="31.2" x14ac:dyDescent="0.3">
      <c r="A11" s="64" t="s">
        <v>87</v>
      </c>
    </row>
    <row r="12" spans="1:1" ht="15.6" x14ac:dyDescent="0.3">
      <c r="A12" s="65"/>
    </row>
    <row r="13" spans="1:1" ht="124.8" x14ac:dyDescent="0.3">
      <c r="A13" s="71" t="s">
        <v>88</v>
      </c>
    </row>
    <row r="14" spans="1:1" ht="67.2" x14ac:dyDescent="0.3">
      <c r="A14" s="74" t="s">
        <v>98</v>
      </c>
    </row>
    <row r="15" spans="1:1" ht="18" x14ac:dyDescent="0.3">
      <c r="A15" s="52" t="s">
        <v>108</v>
      </c>
    </row>
    <row r="16" spans="1:1" ht="109.2" x14ac:dyDescent="0.3">
      <c r="A16" s="73" t="s">
        <v>99</v>
      </c>
    </row>
    <row r="17" spans="1:1" ht="15.6" x14ac:dyDescent="0.3">
      <c r="A17" s="52" t="s">
        <v>97</v>
      </c>
    </row>
    <row r="18" spans="1:1" ht="15.6" x14ac:dyDescent="0.3">
      <c r="A18" s="52" t="s">
        <v>111</v>
      </c>
    </row>
    <row r="19" spans="1:1" ht="78" x14ac:dyDescent="0.3">
      <c r="A19" s="75" t="s">
        <v>105</v>
      </c>
    </row>
    <row r="21" spans="1:1" ht="46.8" x14ac:dyDescent="0.3">
      <c r="A21" s="67" t="s">
        <v>106</v>
      </c>
    </row>
    <row r="22" spans="1:1" ht="18" x14ac:dyDescent="0.4">
      <c r="A22" s="77" t="s">
        <v>102</v>
      </c>
    </row>
    <row r="23" spans="1:1" ht="18" x14ac:dyDescent="0.4">
      <c r="A23" s="77" t="s">
        <v>103</v>
      </c>
    </row>
    <row r="24" spans="1:1" ht="33.6" x14ac:dyDescent="0.3">
      <c r="A24" s="76" t="s">
        <v>104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исх данные, решение 1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Vlad Luzetskiy</cp:lastModifiedBy>
  <dcterms:created xsi:type="dcterms:W3CDTF">2024-02-22T06:33:23Z</dcterms:created>
  <dcterms:modified xsi:type="dcterms:W3CDTF">2026-04-02T06:12:59Z</dcterms:modified>
</cp:coreProperties>
</file>